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https://gbskandy-my.sharepoint.com/personal/muhammed_steaudit_com/Documents/Desktop/Audit Formats/03. Working Papers/K - Share Capital/"/>
    </mc:Choice>
  </mc:AlternateContent>
  <xr:revisionPtr revIDLastSave="8" documentId="11_7F09142E4DB8F3CB4E1DCC92C53AEF24656D0AB6" xr6:coauthVersionLast="47" xr6:coauthVersionMax="47" xr10:uidLastSave="{BE9D33EF-7117-4165-A29D-DE6B576D29B1}"/>
  <bookViews>
    <workbookView xWindow="-110" yWindow="-110" windowWidth="19420" windowHeight="10300" firstSheet="1" activeTab="1" xr2:uid="{00000000-000D-0000-FFFF-FFFF00000000}"/>
  </bookViews>
  <sheets>
    <sheet name="Audit Program - M" sheetId="1" state="hidden" r:id="rId1"/>
    <sheet name="Front" sheetId="13" r:id="rId2"/>
    <sheet name="M 2" sheetId="3" state="hidden" r:id="rId3"/>
    <sheet name="N5" sheetId="17" state="hidden" r:id="rId4"/>
    <sheet name="M4" sheetId="5" state="hidden" r:id="rId5"/>
    <sheet name="M 4.1" sheetId="11" state="hidden" r:id="rId6"/>
    <sheet name="M 5" sheetId="8" state="hidden" r:id="rId7"/>
    <sheet name="M 6" sheetId="7" state="hidden" r:id="rId8"/>
  </sheets>
  <externalReferences>
    <externalReference r:id="rId9"/>
  </externalReferences>
  <definedNames>
    <definedName name="Beg_Bal">'[1]Loan Amortization Schedule'!$C$18:$C$497</definedName>
    <definedName name="End_Bal">'[1]Loan Amortization Schedule'!$I$18:$I$497</definedName>
    <definedName name="Extra_Pay">'[1]Loan Amortization Schedule'!$E$18:$E$497</definedName>
    <definedName name="Full_Print">'[1]Loan Amortization Schedule'!$A$1:$J$497</definedName>
    <definedName name="Header_Row">ROW('[1]Loan Amortization Schedule'!$17:$17)</definedName>
    <definedName name="Int">'[1]Loan Amortization Schedule'!$H$18:$H$497</definedName>
    <definedName name="Interest_Rate">'[1]Loan Amortization Schedule'!$D$6</definedName>
    <definedName name="Last_Row" localSheetId="3">IF('N5'!Values_Entered,Header_Row+'N5'!Number_of_Payments,Header_Row)</definedName>
    <definedName name="Last_Row">IF(Values_Entered,Header_Row+Number_of_Payments,Header_Row)</definedName>
    <definedName name="Loan_Amount">'[1]Loan Amortization Schedule'!$D$5</definedName>
    <definedName name="Loan_Start">'[1]Loan Amortization Schedule'!$D$9</definedName>
    <definedName name="Loan_Years">'[1]Loan Amortization Schedule'!$D$7</definedName>
    <definedName name="Num_Pmt_Per_Year">'[1]Loan Amortization Schedule'!$D$8</definedName>
    <definedName name="Number_of_Payments" localSheetId="3">MATCH(0.01,End_Bal,-1)+1</definedName>
    <definedName name="Number_of_Payments">MATCH(0.01,End_Bal,-1)+1</definedName>
    <definedName name="Pay_Num">'[1]Loan Amortization Schedule'!$A$18:$A$497</definedName>
    <definedName name="Payment_Date" localSheetId="3">DATE(YEAR(Loan_Start),MONTH(Loan_Start)+Payment_Number,DAY(Loan_Start))</definedName>
    <definedName name="Payment_Date">DATE(YEAR(Loan_Start),MONTH(Loan_Start)+Payment_Number,DAY(Loan_Start))</definedName>
    <definedName name="Princ">'[1]Loan Amortization Schedule'!$G$18:$G$497</definedName>
    <definedName name="_xlnm.Print_Area" localSheetId="1">Front!$A$1:$J$45</definedName>
    <definedName name="_xlnm.Print_Area" localSheetId="3">'N5'!$A$1:$G$76</definedName>
    <definedName name="Print_Area_Reset" localSheetId="3">OFFSET(Full_Print,0,0,'N5'!Last_Row)</definedName>
    <definedName name="Print_Area_Reset">OFFSET(Full_Print,0,0,Last_Row)</definedName>
    <definedName name="Sched_Pay">'[1]Loan Amortization Schedule'!$D$18:$D$497</definedName>
    <definedName name="Scheduled_Extra_Payments">'[1]Loan Amortization Schedule'!$D$10</definedName>
    <definedName name="Scheduled_Monthly_Payment">'[1]Loan Amortization Schedule'!$J$5</definedName>
    <definedName name="Total_Pay">'[1]Loan Amortization Schedule'!$F$18:$F$497</definedName>
    <definedName name="Values_Entered" localSheetId="3">IF(Loan_Amount*Interest_Rate*Loan_Years*Loan_Start&gt;0,1,0)</definedName>
    <definedName name="Values_Entered">IF(Loan_Amount*Interest_Rate*Loan_Years*Loan_Start&gt;0,1,0)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3" l="1"/>
  <c r="F16" i="13"/>
  <c r="D12" i="17"/>
  <c r="F56" i="17" s="1"/>
  <c r="D13" i="17"/>
  <c r="C59" i="17"/>
  <c r="C58" i="17"/>
  <c r="C57" i="17"/>
  <c r="C56" i="17"/>
  <c r="C55" i="17"/>
  <c r="C54" i="17"/>
  <c r="C51" i="17"/>
  <c r="C50" i="17"/>
  <c r="C49" i="17"/>
  <c r="C48" i="17"/>
  <c r="C47" i="17"/>
  <c r="C46" i="17"/>
  <c r="C45" i="17"/>
  <c r="C44" i="17"/>
  <c r="C43" i="17"/>
  <c r="C42" i="17"/>
  <c r="C41" i="17"/>
  <c r="C40" i="17"/>
  <c r="C39" i="17"/>
  <c r="C36" i="17"/>
  <c r="C35" i="17"/>
  <c r="C34" i="17"/>
  <c r="C33" i="17"/>
  <c r="C32" i="17"/>
  <c r="C31" i="17"/>
  <c r="C30" i="17"/>
  <c r="C29" i="17"/>
  <c r="C28" i="17"/>
  <c r="C27" i="17"/>
  <c r="C26" i="17"/>
  <c r="C23" i="17"/>
  <c r="C22" i="17"/>
  <c r="C21" i="17"/>
  <c r="C20" i="17"/>
  <c r="C19" i="17"/>
  <c r="C18" i="17"/>
  <c r="B18" i="17"/>
  <c r="C24" i="17" l="1"/>
  <c r="C60" i="17"/>
  <c r="C37" i="17"/>
  <c r="C52" i="17"/>
  <c r="F22" i="17"/>
  <c r="F33" i="17"/>
  <c r="F40" i="17"/>
  <c r="F48" i="17"/>
  <c r="F32" i="17"/>
  <c r="F36" i="17"/>
  <c r="F55" i="17"/>
  <c r="F59" i="17"/>
  <c r="F20" i="17"/>
  <c r="F39" i="17"/>
  <c r="F43" i="17"/>
  <c r="F47" i="17"/>
  <c r="F51" i="17"/>
  <c r="F21" i="17"/>
  <c r="F44" i="17"/>
  <c r="F28" i="17"/>
  <c r="F27" i="17"/>
  <c r="F31" i="17"/>
  <c r="F35" i="17"/>
  <c r="F54" i="17"/>
  <c r="F58" i="17"/>
  <c r="F41" i="17"/>
  <c r="F23" i="17"/>
  <c r="F49" i="17"/>
  <c r="F29" i="17"/>
  <c r="F19" i="17"/>
  <c r="F42" i="17"/>
  <c r="F46" i="17"/>
  <c r="F50" i="17"/>
  <c r="E18" i="17"/>
  <c r="F26" i="17"/>
  <c r="F30" i="17"/>
  <c r="F34" i="17"/>
  <c r="F57" i="17"/>
  <c r="F18" i="17"/>
  <c r="F45" i="17"/>
  <c r="C62" i="17" l="1"/>
  <c r="D18" i="17"/>
  <c r="G18" i="17" l="1"/>
  <c r="B19" i="17" s="1"/>
  <c r="E19" i="17" l="1"/>
  <c r="D19" i="17" l="1"/>
  <c r="G19" i="17" l="1"/>
  <c r="B20" i="17" s="1"/>
  <c r="E20" i="17" l="1"/>
  <c r="D20" i="17" l="1"/>
  <c r="G20" i="17" l="1"/>
  <c r="B21" i="17" s="1"/>
  <c r="E21" i="17" l="1"/>
  <c r="D21" i="17" l="1"/>
  <c r="G21" i="17" l="1"/>
  <c r="B22" i="17" s="1"/>
  <c r="E22" i="17" l="1"/>
  <c r="D22" i="17" l="1"/>
  <c r="G22" i="17" l="1"/>
  <c r="B23" i="17" s="1"/>
  <c r="E23" i="17" l="1"/>
  <c r="D23" i="17" l="1"/>
  <c r="E24" i="17"/>
  <c r="D24" i="17" l="1"/>
  <c r="G23" i="17"/>
  <c r="B26" i="17" s="1"/>
  <c r="E26" i="17" l="1"/>
  <c r="D26" i="17" l="1"/>
  <c r="G26" i="17" l="1"/>
  <c r="B27" i="17" s="1"/>
  <c r="E27" i="17" l="1"/>
  <c r="D27" i="17" l="1"/>
  <c r="G27" i="17" l="1"/>
  <c r="B28" i="17" s="1"/>
  <c r="E28" i="17" l="1"/>
  <c r="D28" i="17" l="1"/>
  <c r="G28" i="17" l="1"/>
  <c r="B29" i="17" s="1"/>
  <c r="E29" i="17" l="1"/>
  <c r="D29" i="17" l="1"/>
  <c r="G29" i="17" l="1"/>
  <c r="B30" i="17" s="1"/>
  <c r="E30" i="17" l="1"/>
  <c r="D30" i="17" l="1"/>
  <c r="G30" i="17" l="1"/>
  <c r="B31" i="17" s="1"/>
  <c r="E31" i="17" l="1"/>
  <c r="D31" i="17" s="1"/>
  <c r="G31" i="17" s="1"/>
  <c r="B32" i="17" s="1"/>
  <c r="E32" i="17" l="1"/>
  <c r="D32" i="17" s="1"/>
  <c r="G32" i="17" s="1"/>
  <c r="B33" i="17" s="1"/>
  <c r="E33" i="17" l="1"/>
  <c r="D33" i="17" s="1"/>
  <c r="G33" i="17" s="1"/>
  <c r="B34" i="17" s="1"/>
  <c r="E34" i="17" l="1"/>
  <c r="D34" i="17" s="1"/>
  <c r="G34" i="17" s="1"/>
  <c r="B35" i="17" s="1"/>
  <c r="E35" i="17" l="1"/>
  <c r="D35" i="17" s="1"/>
  <c r="G35" i="17" s="1"/>
  <c r="B36" i="17" s="1"/>
  <c r="E36" i="17" l="1"/>
  <c r="D36" i="17" l="1"/>
  <c r="E37" i="17"/>
  <c r="D37" i="17" l="1"/>
  <c r="G36" i="17"/>
  <c r="B39" i="17" s="1"/>
  <c r="E39" i="17" l="1"/>
  <c r="D39" i="17" l="1"/>
  <c r="G39" i="17" l="1"/>
  <c r="B40" i="17" s="1"/>
  <c r="E40" i="17" l="1"/>
  <c r="D40" i="17" l="1"/>
  <c r="G40" i="17" l="1"/>
  <c r="B41" i="17" s="1"/>
  <c r="E41" i="17" l="1"/>
  <c r="D41" i="17" l="1"/>
  <c r="G41" i="17" l="1"/>
  <c r="B42" i="17" s="1"/>
  <c r="E42" i="17" l="1"/>
  <c r="D42" i="17" l="1"/>
  <c r="G42" i="17" l="1"/>
  <c r="B43" i="17" s="1"/>
  <c r="E43" i="17" l="1"/>
  <c r="D43" i="17" l="1"/>
  <c r="G43" i="17" l="1"/>
  <c r="B44" i="17" s="1"/>
  <c r="E44" i="17" l="1"/>
  <c r="D44" i="17" s="1"/>
  <c r="G44" i="17" s="1"/>
  <c r="B45" i="17" s="1"/>
  <c r="E45" i="17" l="1"/>
  <c r="D45" i="17" s="1"/>
  <c r="G45" i="17" s="1"/>
  <c r="B46" i="17" s="1"/>
  <c r="E46" i="17" l="1"/>
  <c r="D46" i="17" s="1"/>
  <c r="G46" i="17" s="1"/>
  <c r="B47" i="17" s="1"/>
  <c r="E47" i="17" l="1"/>
  <c r="D47" i="17" s="1"/>
  <c r="G47" i="17" s="1"/>
  <c r="B48" i="17" s="1"/>
  <c r="E48" i="17" l="1"/>
  <c r="D48" i="17" s="1"/>
  <c r="G48" i="17" s="1"/>
  <c r="B49" i="17" s="1"/>
  <c r="E49" i="17" l="1"/>
  <c r="D49" i="17" s="1"/>
  <c r="G49" i="17" s="1"/>
  <c r="B50" i="17" s="1"/>
  <c r="E50" i="17" l="1"/>
  <c r="D50" i="17" s="1"/>
  <c r="G50" i="17" s="1"/>
  <c r="B51" i="17" s="1"/>
  <c r="E51" i="17" l="1"/>
  <c r="D51" i="17" l="1"/>
  <c r="E52" i="17"/>
  <c r="D52" i="17" l="1"/>
  <c r="G51" i="17"/>
  <c r="B54" i="17" s="1"/>
  <c r="E54" i="17" l="1"/>
  <c r="D54" i="17" l="1"/>
  <c r="G54" i="17" l="1"/>
  <c r="B55" i="17" s="1"/>
  <c r="E55" i="17" l="1"/>
  <c r="D55" i="17" l="1"/>
  <c r="G55" i="17" l="1"/>
  <c r="B56" i="17" s="1"/>
  <c r="E56" i="17" l="1"/>
  <c r="D56" i="17" l="1"/>
  <c r="G56" i="17" l="1"/>
  <c r="B57" i="17" s="1"/>
  <c r="E57" i="17" l="1"/>
  <c r="D57" i="17" l="1"/>
  <c r="G57" i="17" l="1"/>
  <c r="B58" i="17" s="1"/>
  <c r="E58" i="17" l="1"/>
  <c r="D58" i="17" l="1"/>
  <c r="G58" i="17" l="1"/>
  <c r="B59" i="17" s="1"/>
  <c r="E59" i="17" l="1"/>
  <c r="D59" i="17" l="1"/>
  <c r="E60" i="17"/>
  <c r="E62" i="17" s="1"/>
  <c r="D60" i="17" l="1"/>
  <c r="D62" i="17" s="1"/>
  <c r="G59" i="17"/>
  <c r="G16" i="13" l="1"/>
  <c r="D12" i="11" l="1"/>
  <c r="C59" i="11" l="1"/>
  <c r="C58" i="11"/>
  <c r="C57" i="11"/>
  <c r="C56" i="11"/>
  <c r="C55" i="11"/>
  <c r="C54" i="11"/>
  <c r="C51" i="11"/>
  <c r="C50" i="11"/>
  <c r="C49" i="11"/>
  <c r="C48" i="11"/>
  <c r="C47" i="11"/>
  <c r="C46" i="11"/>
  <c r="C45" i="11"/>
  <c r="C44" i="11"/>
  <c r="C43" i="11"/>
  <c r="C42" i="11"/>
  <c r="C41" i="11"/>
  <c r="C40" i="11"/>
  <c r="C39" i="11"/>
  <c r="C36" i="11"/>
  <c r="C35" i="11"/>
  <c r="C34" i="11"/>
  <c r="C33" i="11"/>
  <c r="C32" i="11"/>
  <c r="C31" i="11"/>
  <c r="C30" i="11"/>
  <c r="C29" i="11"/>
  <c r="C28" i="11"/>
  <c r="C27" i="11"/>
  <c r="C26" i="11"/>
  <c r="C23" i="11"/>
  <c r="C22" i="11"/>
  <c r="C21" i="11"/>
  <c r="C20" i="11"/>
  <c r="C19" i="11"/>
  <c r="C18" i="11"/>
  <c r="B18" i="11"/>
  <c r="E18" i="11" s="1"/>
  <c r="D13" i="11"/>
  <c r="F58" i="11"/>
  <c r="C24" i="11" l="1"/>
  <c r="C37" i="11"/>
  <c r="C52" i="11"/>
  <c r="C60" i="11"/>
  <c r="F19" i="11"/>
  <c r="F23" i="11"/>
  <c r="F48" i="11"/>
  <c r="F50" i="11"/>
  <c r="F26" i="11"/>
  <c r="F28" i="11"/>
  <c r="F30" i="11"/>
  <c r="F32" i="11"/>
  <c r="F34" i="11"/>
  <c r="F36" i="11"/>
  <c r="F55" i="11"/>
  <c r="F57" i="11"/>
  <c r="F59" i="11"/>
  <c r="F40" i="11"/>
  <c r="F42" i="11"/>
  <c r="F44" i="11"/>
  <c r="F46" i="11"/>
  <c r="F18" i="11"/>
  <c r="F39" i="11"/>
  <c r="F41" i="11"/>
  <c r="F43" i="11"/>
  <c r="F45" i="11"/>
  <c r="F47" i="11"/>
  <c r="F49" i="11"/>
  <c r="F51" i="11"/>
  <c r="F21" i="11"/>
  <c r="F20" i="11"/>
  <c r="F22" i="11"/>
  <c r="F27" i="11"/>
  <c r="F29" i="11"/>
  <c r="F31" i="11"/>
  <c r="F33" i="11"/>
  <c r="F35" i="11"/>
  <c r="F54" i="11"/>
  <c r="F56" i="11"/>
  <c r="C62" i="11" l="1"/>
  <c r="D18" i="11"/>
  <c r="G18" i="11" l="1"/>
  <c r="B19" i="11" s="1"/>
  <c r="E19" i="11" l="1"/>
  <c r="D19" i="11" l="1"/>
  <c r="G19" i="11" l="1"/>
  <c r="B20" i="11" s="1"/>
  <c r="E20" i="11" l="1"/>
  <c r="D20" i="11" l="1"/>
  <c r="G20" i="11" l="1"/>
  <c r="B21" i="11" s="1"/>
  <c r="E21" i="11" l="1"/>
  <c r="D21" i="11" l="1"/>
  <c r="G21" i="11" l="1"/>
  <c r="B22" i="11" s="1"/>
  <c r="E22" i="11" l="1"/>
  <c r="D22" i="11" l="1"/>
  <c r="G22" i="11" l="1"/>
  <c r="B23" i="11" s="1"/>
  <c r="E23" i="11" l="1"/>
  <c r="D23" i="11" l="1"/>
  <c r="E24" i="11"/>
  <c r="D24" i="11" l="1"/>
  <c r="G23" i="11"/>
  <c r="B26" i="11" s="1"/>
  <c r="E26" i="11" l="1"/>
  <c r="D26" i="11" l="1"/>
  <c r="G26" i="11" l="1"/>
  <c r="B27" i="11" s="1"/>
  <c r="E27" i="11" l="1"/>
  <c r="D27" i="11" l="1"/>
  <c r="G27" i="11" l="1"/>
  <c r="B28" i="11" s="1"/>
  <c r="E28" i="11" l="1"/>
  <c r="D28" i="11" l="1"/>
  <c r="G28" i="11" l="1"/>
  <c r="B29" i="11" s="1"/>
  <c r="E29" i="11" l="1"/>
  <c r="D29" i="11" l="1"/>
  <c r="G29" i="11" l="1"/>
  <c r="B30" i="11" s="1"/>
  <c r="E30" i="11" l="1"/>
  <c r="D30" i="11" l="1"/>
  <c r="G30" i="11" l="1"/>
  <c r="B31" i="11" s="1"/>
  <c r="E31" i="11" l="1"/>
  <c r="D31" i="11" s="1"/>
  <c r="G31" i="11" s="1"/>
  <c r="B32" i="11" s="1"/>
  <c r="E32" i="11" l="1"/>
  <c r="D32" i="11" s="1"/>
  <c r="G32" i="11" s="1"/>
  <c r="B33" i="11" s="1"/>
  <c r="E33" i="11" l="1"/>
  <c r="D33" i="11" s="1"/>
  <c r="G33" i="11" s="1"/>
  <c r="B34" i="11" s="1"/>
  <c r="E34" i="11" l="1"/>
  <c r="D34" i="11" s="1"/>
  <c r="G34" i="11" s="1"/>
  <c r="B35" i="11" s="1"/>
  <c r="E35" i="11" l="1"/>
  <c r="D35" i="11" s="1"/>
  <c r="G35" i="11" s="1"/>
  <c r="B36" i="11" s="1"/>
  <c r="E36" i="11" l="1"/>
  <c r="D36" i="11" l="1"/>
  <c r="E37" i="11"/>
  <c r="D37" i="11" l="1"/>
  <c r="G36" i="11"/>
  <c r="B39" i="11" s="1"/>
  <c r="E39" i="11" l="1"/>
  <c r="D39" i="11" l="1"/>
  <c r="G39" i="11" l="1"/>
  <c r="B40" i="11" s="1"/>
  <c r="E40" i="11" l="1"/>
  <c r="D40" i="11" l="1"/>
  <c r="G40" i="11" l="1"/>
  <c r="B41" i="11" s="1"/>
  <c r="E41" i="11" l="1"/>
  <c r="D41" i="11" l="1"/>
  <c r="G41" i="11" l="1"/>
  <c r="B42" i="11" s="1"/>
  <c r="E42" i="11" l="1"/>
  <c r="D42" i="11" l="1"/>
  <c r="G42" i="11" l="1"/>
  <c r="B43" i="11" s="1"/>
  <c r="E43" i="11" l="1"/>
  <c r="D43" i="11" l="1"/>
  <c r="G43" i="11" l="1"/>
  <c r="B44" i="11" s="1"/>
  <c r="E44" i="11" l="1"/>
  <c r="D44" i="11" s="1"/>
  <c r="G44" i="11" s="1"/>
  <c r="B45" i="11" s="1"/>
  <c r="E45" i="11" l="1"/>
  <c r="D45" i="11" s="1"/>
  <c r="G45" i="11" s="1"/>
  <c r="B46" i="11" s="1"/>
  <c r="E46" i="11" l="1"/>
  <c r="D46" i="11" s="1"/>
  <c r="G46" i="11" s="1"/>
  <c r="B47" i="11" s="1"/>
  <c r="E47" i="11" l="1"/>
  <c r="D47" i="11" s="1"/>
  <c r="G47" i="11" s="1"/>
  <c r="B48" i="11" s="1"/>
  <c r="E48" i="11" l="1"/>
  <c r="D48" i="11" s="1"/>
  <c r="G48" i="11" s="1"/>
  <c r="B49" i="11" s="1"/>
  <c r="E49" i="11" l="1"/>
  <c r="D49" i="11" s="1"/>
  <c r="G49" i="11" s="1"/>
  <c r="B50" i="11" s="1"/>
  <c r="E50" i="11" l="1"/>
  <c r="D50" i="11" s="1"/>
  <c r="G50" i="11" s="1"/>
  <c r="B51" i="11" s="1"/>
  <c r="E51" i="11" l="1"/>
  <c r="D51" i="11" l="1"/>
  <c r="E52" i="11"/>
  <c r="D52" i="11" l="1"/>
  <c r="G51" i="11"/>
  <c r="B54" i="11" s="1"/>
  <c r="E54" i="11" l="1"/>
  <c r="D54" i="11" l="1"/>
  <c r="G54" i="11" l="1"/>
  <c r="B55" i="11" s="1"/>
  <c r="E55" i="11" l="1"/>
  <c r="D55" i="11" l="1"/>
  <c r="G55" i="11" l="1"/>
  <c r="B56" i="11" s="1"/>
  <c r="E56" i="11" l="1"/>
  <c r="D56" i="11" l="1"/>
  <c r="G56" i="11" l="1"/>
  <c r="B57" i="11" s="1"/>
  <c r="E57" i="11" l="1"/>
  <c r="D57" i="11" l="1"/>
  <c r="G57" i="11" l="1"/>
  <c r="B58" i="11" s="1"/>
  <c r="E58" i="11" l="1"/>
  <c r="D58" i="11" l="1"/>
  <c r="G58" i="11" l="1"/>
  <c r="B59" i="11" s="1"/>
  <c r="E59" i="11" l="1"/>
  <c r="D59" i="11" l="1"/>
  <c r="E60" i="11"/>
  <c r="E62" i="11" s="1"/>
  <c r="D60" i="11" l="1"/>
  <c r="D62" i="11" s="1"/>
  <c r="G59" i="11"/>
</calcChain>
</file>

<file path=xl/sharedStrings.xml><?xml version="1.0" encoding="utf-8"?>
<sst xmlns="http://schemas.openxmlformats.org/spreadsheetml/2006/main" count="364" uniqueCount="262">
  <si>
    <t>Kreston MNS &amp; Co.</t>
  </si>
  <si>
    <t xml:space="preserve">      Audit Programme </t>
  </si>
  <si>
    <t>M</t>
  </si>
  <si>
    <t>Client:</t>
  </si>
  <si>
    <t xml:space="preserve">                                           </t>
  </si>
  <si>
    <t>Budgeted hours</t>
  </si>
  <si>
    <t xml:space="preserve">                     </t>
  </si>
  <si>
    <t>Year end:</t>
  </si>
  <si>
    <t xml:space="preserve">                             </t>
  </si>
  <si>
    <t xml:space="preserve">Actual hours </t>
  </si>
  <si>
    <t xml:space="preserve">File No. </t>
  </si>
  <si>
    <t>Comments</t>
  </si>
  <si>
    <t>LONG TERM LOANS AND DEFERRED INCOME</t>
  </si>
  <si>
    <t>Audit Objectives :</t>
  </si>
  <si>
    <t>1.</t>
  </si>
  <si>
    <t>2.</t>
  </si>
  <si>
    <t>To ensure that deferred income has been correctly accounted for and is complete.</t>
  </si>
  <si>
    <t>3.</t>
  </si>
  <si>
    <t xml:space="preserve">To confirm that all necessary disclosures concerning long term loans and deferred income have been made and that the information is appropriately presented and described. </t>
  </si>
  <si>
    <t xml:space="preserve">Audit Procedures </t>
  </si>
  <si>
    <t>Audit Objective</t>
  </si>
  <si>
    <t>General</t>
  </si>
  <si>
    <t>Agree all opening balances to last year’s audited accounts.</t>
  </si>
  <si>
    <t xml:space="preserve">              </t>
  </si>
  <si>
    <t>Prepare a lead schedule for the current year’s figures and reconcile this to the general ledger.</t>
  </si>
  <si>
    <t>Review for large and/or unusual items and verify.</t>
  </si>
  <si>
    <t>4.</t>
  </si>
  <si>
    <t xml:space="preserve">Carryout analytical procedures </t>
  </si>
  <si>
    <t>-</t>
  </si>
  <si>
    <t>Review and compare key ratios or other performance indicators</t>
  </si>
  <si>
    <t>5.</t>
  </si>
  <si>
    <t xml:space="preserve">Review of appropriateness and consistency of accounting policies used by the entity. </t>
  </si>
  <si>
    <t xml:space="preserve">Loans </t>
  </si>
  <si>
    <t>6.</t>
  </si>
  <si>
    <t>Obtain direct confirmation from lenders and confirm that other matters such as security have been dealt with.</t>
  </si>
  <si>
    <t>7.</t>
  </si>
  <si>
    <t>Review loan agreements and consider the implications of any breach of covenants.</t>
  </si>
  <si>
    <t>8.</t>
  </si>
  <si>
    <t>Check supporting evidence for loan advance and  repayment during the year.</t>
  </si>
  <si>
    <t>9.</t>
  </si>
  <si>
    <t>Calculate the apportionment of loan between non-current and current portion.</t>
  </si>
  <si>
    <t>10.</t>
  </si>
  <si>
    <t>Verify interest charged for the period and the adequacy of accrued interest. (Ensure that interest is recognized on effective Interest method)</t>
  </si>
  <si>
    <t xml:space="preserve">      Page 1</t>
  </si>
  <si>
    <t>11.</t>
  </si>
  <si>
    <t>Ensure the completeness of loans by :</t>
  </si>
  <si>
    <t>a)</t>
  </si>
  <si>
    <t xml:space="preserve">examining board minutes </t>
  </si>
  <si>
    <t>b)</t>
  </si>
  <si>
    <t xml:space="preserve">reviewing bank confirmation and other correspondences </t>
  </si>
  <si>
    <t>c)</t>
  </si>
  <si>
    <t>identifying unrecorded liabilities</t>
  </si>
  <si>
    <t>Deferred Income</t>
  </si>
  <si>
    <t>12.</t>
  </si>
  <si>
    <t>Review the basis for deferring income</t>
  </si>
  <si>
    <t xml:space="preserve">vouch to supporting documents; </t>
  </si>
  <si>
    <t>and</t>
  </si>
  <si>
    <t>ensure that it is valid, complete and has been correctly and consistently applied with the prior year.</t>
  </si>
  <si>
    <t xml:space="preserve">Foreign Currencies </t>
  </si>
  <si>
    <t>13.</t>
  </si>
  <si>
    <t xml:space="preserve">Presentation and Disclosure </t>
  </si>
  <si>
    <t>14.</t>
  </si>
  <si>
    <t>Ensure that there is sufficient appropriate evidence on the file to support all disclosures made.</t>
  </si>
  <si>
    <t>Other Procedures</t>
  </si>
  <si>
    <t>15.</t>
  </si>
  <si>
    <t>16.</t>
  </si>
  <si>
    <t>17.</t>
  </si>
  <si>
    <t xml:space="preserve">      Page 2</t>
  </si>
  <si>
    <t xml:space="preserve">Unresolved matters for the attention of Partner </t>
  </si>
  <si>
    <t xml:space="preserve">Description of Issue </t>
  </si>
  <si>
    <t>Reviewer’s Response</t>
  </si>
  <si>
    <t xml:space="preserve">Initial </t>
  </si>
  <si>
    <t xml:space="preserve">Final </t>
  </si>
  <si>
    <t>Conclusion:</t>
  </si>
  <si>
    <t>From the audit work carried out I confirm that:</t>
  </si>
  <si>
    <t>The work has been performed in accordance with the audit programme;</t>
  </si>
  <si>
    <t>The work performed and the results obtained have been adequately documented;</t>
  </si>
  <si>
    <t>All necessary information has been collected for the presentation and disclosure in the financial statements.</t>
  </si>
  <si>
    <t>Sufficient and appropriate evidence has been obtained to support the audit conclusion reached.</t>
  </si>
  <si>
    <t>Name</t>
  </si>
  <si>
    <t xml:space="preserve">Designation </t>
  </si>
  <si>
    <t>Signature</t>
  </si>
  <si>
    <t>Date</t>
  </si>
  <si>
    <t>Prepared by</t>
  </si>
  <si>
    <t xml:space="preserve">Checked by                (Senior In charge) </t>
  </si>
  <si>
    <t>Reviewed by</t>
  </si>
  <si>
    <t>Partner’s Comments</t>
  </si>
  <si>
    <t>Date:</t>
  </si>
  <si>
    <t xml:space="preserve">      Page 3</t>
  </si>
  <si>
    <t xml:space="preserve">Issue      </t>
  </si>
  <si>
    <t>Reference to WP</t>
  </si>
  <si>
    <t>ABC &amp; Co (Pvt) Ltd</t>
  </si>
  <si>
    <t>Agreement No</t>
  </si>
  <si>
    <t>%</t>
  </si>
  <si>
    <t>Reasons (Refer Note 1)</t>
  </si>
  <si>
    <t>Note 1 :</t>
  </si>
  <si>
    <t>Reasons for the variance should be obtained for</t>
  </si>
  <si>
    <t>Annex - M 2</t>
  </si>
  <si>
    <t>Bank / Company</t>
  </si>
  <si>
    <t>Loan Obtained during the year</t>
  </si>
  <si>
    <t>Loan Repaid during the year</t>
  </si>
  <si>
    <t>Lead Schedule - Annex M 1</t>
  </si>
  <si>
    <t>Annex M 1</t>
  </si>
  <si>
    <t>Annex M 2</t>
  </si>
  <si>
    <t>Annex M 3</t>
  </si>
  <si>
    <t>Annex M 4</t>
  </si>
  <si>
    <t>Loan Creditor</t>
  </si>
  <si>
    <t>Bank/ Company</t>
  </si>
  <si>
    <t>Interest Amortization Schedule</t>
  </si>
  <si>
    <t>Interest calculation agreed with the loan agreement  (√)</t>
  </si>
  <si>
    <t>Annex M 6</t>
  </si>
  <si>
    <t>Annex - M 6</t>
  </si>
  <si>
    <t xml:space="preserve">Period </t>
  </si>
  <si>
    <t>Disclosure</t>
  </si>
  <si>
    <t>Interest Rate</t>
  </si>
  <si>
    <t>Security Given</t>
  </si>
  <si>
    <t>Annex - M 5</t>
  </si>
  <si>
    <t>Description</t>
  </si>
  <si>
    <t>Nature</t>
  </si>
  <si>
    <t>Charged to P&amp; L during the Year</t>
  </si>
  <si>
    <t>Calculation</t>
  </si>
  <si>
    <t>Annex M 5</t>
  </si>
  <si>
    <t xml:space="preserve">In my opinion (subject to the unresolved matters highlighted above) Long Term Loans and Deferred Income Balances are fairly stated / *not fairly stated. </t>
  </si>
  <si>
    <t>Installment</t>
  </si>
  <si>
    <t>Capital</t>
  </si>
  <si>
    <t>1 &amp; 2</t>
  </si>
  <si>
    <t>1 &amp; 3</t>
  </si>
  <si>
    <t>Audit for the year ended 31.03.2019</t>
  </si>
  <si>
    <t xml:space="preserve">Purpose </t>
  </si>
  <si>
    <t>Gearing</t>
  </si>
  <si>
    <t>2017/2018</t>
  </si>
  <si>
    <t>Debt</t>
  </si>
  <si>
    <t>X 100%</t>
  </si>
  <si>
    <t>Debt +Equity</t>
  </si>
  <si>
    <t>Interest Cover</t>
  </si>
  <si>
    <t>(Result should be in times)</t>
  </si>
  <si>
    <t>PBIT</t>
  </si>
  <si>
    <t>Interest Expense</t>
  </si>
  <si>
    <t>Note 2:</t>
  </si>
  <si>
    <t>Analytical Review-Long Term /Short Term Loan</t>
  </si>
  <si>
    <t>Balance as per Ledger as at 31.03.2019</t>
  </si>
  <si>
    <t>Payable within one year *</t>
  </si>
  <si>
    <t>Payable After one Year *</t>
  </si>
  <si>
    <t>Closing Balance Agreed with confirmation (√) **</t>
  </si>
  <si>
    <t>Balance as per Ledger as at 01.04.2018</t>
  </si>
  <si>
    <t>Balance as at 01.04.2018</t>
  </si>
  <si>
    <t>Balance as per ledger as at 31.03.2019</t>
  </si>
  <si>
    <t>Balance as per our calculation</t>
  </si>
  <si>
    <t>Difference</t>
  </si>
  <si>
    <t>A</t>
  </si>
  <si>
    <t xml:space="preserve">B </t>
  </si>
  <si>
    <t>C=A-B</t>
  </si>
  <si>
    <t>Interest ***</t>
  </si>
  <si>
    <t>***</t>
  </si>
  <si>
    <t>Agreed with supporting documents</t>
  </si>
  <si>
    <t>Initial Loan Amount</t>
  </si>
  <si>
    <t>Others (Guarantees given by Directors/Related party)</t>
  </si>
  <si>
    <t>Total Interest</t>
  </si>
  <si>
    <t>HOL 1210 - 00069LM</t>
  </si>
  <si>
    <t>Date of Commencement</t>
  </si>
  <si>
    <t>Date of Cessation</t>
  </si>
  <si>
    <t>Capital Amount</t>
  </si>
  <si>
    <t>Monthly Installment</t>
  </si>
  <si>
    <t>Annual Interest Rate</t>
  </si>
  <si>
    <t>β</t>
  </si>
  <si>
    <t>§</t>
  </si>
  <si>
    <t>Grand Total</t>
  </si>
  <si>
    <t>09.10.2016</t>
  </si>
  <si>
    <t>10.09.2019</t>
  </si>
  <si>
    <t>Period (Years)</t>
  </si>
  <si>
    <t>2016/17</t>
  </si>
  <si>
    <t>2017/18</t>
  </si>
  <si>
    <t>2018/19</t>
  </si>
  <si>
    <t>2019/20</t>
  </si>
  <si>
    <t>Loan Schedule</t>
  </si>
  <si>
    <t>Annex - M 4.1</t>
  </si>
  <si>
    <t>Annex M 4.2</t>
  </si>
  <si>
    <t>…………….</t>
  </si>
  <si>
    <t>……………..</t>
  </si>
  <si>
    <t>…….. times</t>
  </si>
  <si>
    <t>………... times</t>
  </si>
  <si>
    <t>2018/2019</t>
  </si>
  <si>
    <t>Terms of loan Repayment (Monthly Installments and No of installment)</t>
  </si>
  <si>
    <t>To ensure that all material loans have been correctly accounted for and exist at year end.</t>
  </si>
  <si>
    <t>Performed  (√) (x)</t>
  </si>
  <si>
    <t>Remarks / Outstanding</t>
  </si>
  <si>
    <t>compare current figures with those of prior periods.</t>
  </si>
  <si>
    <t xml:space="preserve">Confirm that all monetary liabilities have been translated at the closing rate.
Ensure foreign currency transactions have been accounted for in accordance with LKAS 21 or Section 30 of SLFRS for SMEs.
</t>
  </si>
  <si>
    <t>Interest Rate -        % p.a</t>
  </si>
  <si>
    <t>(Amortisation schedule for a sample loan is given in Annex 4.1)</t>
  </si>
  <si>
    <t>p.a</t>
  </si>
  <si>
    <t>31.03.2019        Rs.</t>
  </si>
  <si>
    <r>
      <t xml:space="preserve">Signature: </t>
    </r>
    <r>
      <rPr>
        <b/>
        <sz val="11"/>
        <color theme="1"/>
        <rFont val="Arial"/>
        <family val="2"/>
      </rPr>
      <t xml:space="preserve"> </t>
    </r>
  </si>
  <si>
    <t xml:space="preserve">WP                         Ref </t>
  </si>
  <si>
    <t xml:space="preserve"> </t>
  </si>
  <si>
    <t>Audit Working Paper</t>
  </si>
  <si>
    <t>(a)</t>
  </si>
  <si>
    <t>Variance Analysis</t>
  </si>
  <si>
    <t>31.03.2018        Rs.</t>
  </si>
  <si>
    <t>Variance        Rs.</t>
  </si>
  <si>
    <t>(i)</t>
  </si>
  <si>
    <t>(ii)</t>
  </si>
  <si>
    <t>(b)</t>
  </si>
  <si>
    <t>Ratio Analysis</t>
  </si>
  <si>
    <t>Remarks               (Refer Note 02)</t>
  </si>
  <si>
    <t>If gearing is above 50%,discuss with  the audit manager and management of the Company.</t>
  </si>
  <si>
    <t>If interest cover is below 2 times,then obtain the management comments.</t>
  </si>
  <si>
    <t>If the variance is more than 15 %</t>
  </si>
  <si>
    <t>If the variance is above 25% of  Tolerate Error (TE) (Even if the variance is below 15%)</t>
  </si>
  <si>
    <t>If not, interest amount to be cross checked with the bank statement or confirmation (Sample basis)</t>
  </si>
  <si>
    <t>(Example)</t>
  </si>
  <si>
    <t>No.</t>
  </si>
  <si>
    <t xml:space="preserve">Opening Balance </t>
  </si>
  <si>
    <t xml:space="preserve">Installment </t>
  </si>
  <si>
    <t xml:space="preserve">Capital </t>
  </si>
  <si>
    <t xml:space="preserve">Interest </t>
  </si>
  <si>
    <t xml:space="preserve">Rate </t>
  </si>
  <si>
    <t xml:space="preserve">Closing Balance </t>
  </si>
  <si>
    <t>ENERGY TECHNICAL SERVICES W.L.L.</t>
  </si>
  <si>
    <t>AUDIT FOR THE YEAR ENDED 31.12.2020</t>
  </si>
  <si>
    <t>QIIB</t>
  </si>
  <si>
    <t>Doha Bank</t>
  </si>
  <si>
    <t>Qatar Islamic Bank (QIB)</t>
  </si>
  <si>
    <t>QNB</t>
  </si>
  <si>
    <t>CBQ</t>
  </si>
  <si>
    <t>Doha BAnk</t>
  </si>
  <si>
    <t>Qatar First Bank (QFB)</t>
  </si>
  <si>
    <r>
      <t>Interest-</t>
    </r>
    <r>
      <rPr>
        <sz val="11"/>
        <color theme="1"/>
        <rFont val="Times New Roman"/>
        <family val="1"/>
      </rPr>
      <t>Amortisation schedule to be prepared if the loan has been taken on fixed installment terms.</t>
    </r>
  </si>
  <si>
    <t>Balance as per Ledger as at 01.01.2020</t>
  </si>
  <si>
    <t>Balance as per Ledger as at 31.12.2020</t>
  </si>
  <si>
    <t>Client</t>
  </si>
  <si>
    <t>:-</t>
  </si>
  <si>
    <t>Preparer</t>
  </si>
  <si>
    <t xml:space="preserve">Financial Year </t>
  </si>
  <si>
    <t>Detail Reviewer</t>
  </si>
  <si>
    <t xml:space="preserve">FSA   </t>
  </si>
  <si>
    <t>Gen. Reviewer</t>
  </si>
  <si>
    <t>Eng. Partner</t>
  </si>
  <si>
    <t>(all amounts in Qatari Riyals unless otherwise stated)</t>
  </si>
  <si>
    <t>Work Done</t>
  </si>
  <si>
    <t xml:space="preserve">&gt;&gt; </t>
  </si>
  <si>
    <t>Checked the opening balance with last year audited accounts</t>
  </si>
  <si>
    <t>Agreed with Closing Balance with Ledger</t>
  </si>
  <si>
    <t>Audit Objectives</t>
  </si>
  <si>
    <t>&gt;&gt;</t>
  </si>
  <si>
    <t>Audit Notes</t>
  </si>
  <si>
    <t xml:space="preserve">Note </t>
  </si>
  <si>
    <t>Audit Findings</t>
  </si>
  <si>
    <t>Conclusions / Recommendations</t>
  </si>
  <si>
    <t>Accounts are fairly stated.</t>
  </si>
  <si>
    <t>Company Name</t>
  </si>
  <si>
    <t>Audit for the year ended 31.12.2021</t>
  </si>
  <si>
    <t>Loan Amortization Schedule</t>
  </si>
  <si>
    <t>N5</t>
  </si>
  <si>
    <r>
      <t xml:space="preserve">To ensure the </t>
    </r>
    <r>
      <rPr>
        <b/>
        <sz val="10.5"/>
        <rFont val="Times New Roman"/>
        <family val="1"/>
      </rPr>
      <t>valuation, existence, completeness, Rights and Obligation</t>
    </r>
    <r>
      <rPr>
        <sz val="10.5"/>
        <rFont val="Times New Roman"/>
        <family val="1"/>
      </rPr>
      <t xml:space="preserve"> of above balance.</t>
    </r>
  </si>
  <si>
    <t>Share Capital</t>
  </si>
  <si>
    <t xml:space="preserve"> K</t>
  </si>
  <si>
    <t>Checked the new article of association and Share transfer agreement</t>
  </si>
  <si>
    <t>Checked the CR and Trade license</t>
  </si>
  <si>
    <t>&lt;Please refer to B1&gt;</t>
  </si>
  <si>
    <t>As at 31/12/2023</t>
  </si>
  <si>
    <t>As at 31/12/2024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</si>
</sst>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_(* #,##0_);_(* \(#,##0\);_(* &quot;-&quot;??_);_(@_)"/>
    <numFmt numFmtId="166" formatCode="dd/mm/yyyy;@"/>
  </numFmts>
  <fonts count="30" x14ac:knownFonts="1">
    <font>
      <sz val="11"/>
      <color theme="1"/>
      <name val="Calibri"/>
      <family val="2"/>
      <scheme val="minor"/>
    </font>
    <font>
      <u/>
      <sz val="11"/>
      <color theme="10"/>
      <name val="Calibri"/>
      <family val="2"/>
      <scheme val="minor"/>
    </font>
    <font>
      <sz val="11"/>
      <color theme="1"/>
      <name val="Calibri"/>
      <family val="2"/>
      <scheme val="minor"/>
    </font>
    <font>
      <sz val="10"/>
      <name val="Arial"/>
      <family val="2"/>
    </font>
    <font>
      <b/>
      <i/>
      <sz val="11"/>
      <color theme="1"/>
      <name val="Arial"/>
      <family val="2"/>
    </font>
    <font>
      <sz val="11"/>
      <color theme="1"/>
      <name val="Arial"/>
      <family val="2"/>
    </font>
    <font>
      <b/>
      <sz val="16"/>
      <color theme="1"/>
      <name val="Arial"/>
      <family val="2"/>
    </font>
    <font>
      <b/>
      <sz val="11"/>
      <color theme="1"/>
      <name val="Arial"/>
      <family val="2"/>
    </font>
    <font>
      <u/>
      <sz val="11"/>
      <color theme="10"/>
      <name val="Arial"/>
      <family val="2"/>
    </font>
    <font>
      <b/>
      <i/>
      <sz val="11"/>
      <color rgb="FF000000"/>
      <name val="Arial"/>
      <family val="2"/>
    </font>
    <font>
      <b/>
      <sz val="36"/>
      <color theme="1"/>
      <name val="Arial"/>
      <family val="2"/>
    </font>
    <font>
      <b/>
      <i/>
      <sz val="18"/>
      <color theme="1"/>
      <name val="Arial"/>
      <family val="2"/>
    </font>
    <font>
      <sz val="18"/>
      <color theme="1"/>
      <name val="Arial"/>
      <family val="2"/>
    </font>
    <font>
      <sz val="10"/>
      <color theme="1"/>
      <name val="Arial"/>
      <family val="2"/>
    </font>
    <font>
      <b/>
      <sz val="9"/>
      <color theme="1"/>
      <name val="Arial"/>
      <family val="2"/>
    </font>
    <font>
      <b/>
      <i/>
      <sz val="18"/>
      <color theme="1"/>
      <name val="Times New Roman"/>
      <family val="1"/>
    </font>
    <font>
      <sz val="18"/>
      <color theme="1"/>
      <name val="Times New Roman"/>
      <family val="1"/>
    </font>
    <font>
      <sz val="11"/>
      <color theme="1"/>
      <name val="Times New Roman"/>
      <family val="1"/>
    </font>
    <font>
      <b/>
      <sz val="11"/>
      <color theme="1"/>
      <name val="Times New Roman"/>
      <family val="1"/>
    </font>
    <font>
      <b/>
      <i/>
      <sz val="11"/>
      <color theme="1"/>
      <name val="Times New Roman"/>
      <family val="1"/>
    </font>
    <font>
      <i/>
      <sz val="11"/>
      <color theme="1"/>
      <name val="Times New Roman"/>
      <family val="1"/>
    </font>
    <font>
      <b/>
      <sz val="10.5"/>
      <name val="Times New Roman"/>
      <family val="1"/>
    </font>
    <font>
      <sz val="10.5"/>
      <name val="Times New Roman"/>
      <family val="1"/>
    </font>
    <font>
      <b/>
      <sz val="10.5"/>
      <color theme="1"/>
      <name val="Times New Roman"/>
      <family val="1"/>
    </font>
    <font>
      <sz val="10.5"/>
      <color indexed="8"/>
      <name val="Times New Roman"/>
      <family val="1"/>
    </font>
    <font>
      <b/>
      <i/>
      <sz val="10.5"/>
      <name val="Times New Roman"/>
      <family val="1"/>
    </font>
    <font>
      <b/>
      <sz val="10.5"/>
      <color theme="0"/>
      <name val="Times New Roman"/>
      <family val="1"/>
    </font>
    <font>
      <b/>
      <u/>
      <sz val="10.5"/>
      <name val="Times New Roman"/>
      <family val="1"/>
    </font>
    <font>
      <b/>
      <sz val="48"/>
      <name val="Times New Roman"/>
      <family val="1"/>
    </font>
    <font>
      <b/>
      <sz val="24"/>
      <color theme="1"/>
      <name val="Times New Roman"/>
      <family val="1"/>
    </font>
  </fonts>
  <fills count="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002060"/>
        <bgColor indexed="64"/>
      </patternFill>
    </fill>
    <fill>
      <patternFill patternType="solid">
        <fgColor theme="4" tint="-0.499984740745262"/>
        <bgColor indexed="64"/>
      </patternFill>
    </fill>
    <fill>
      <patternFill patternType="solid">
        <fgColor theme="0" tint="-0.14999847407452621"/>
        <bgColor indexed="64"/>
      </patternFill>
    </fill>
  </fills>
  <borders count="32">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5">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3" fillId="0" borderId="0"/>
    <xf numFmtId="164"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0" fontId="3" fillId="0" borderId="0">
      <alignment vertical="top"/>
    </xf>
    <xf numFmtId="0" fontId="2" fillId="0" borderId="0" applyFill="0"/>
    <xf numFmtId="0" fontId="3" fillId="0" borderId="0"/>
    <xf numFmtId="0" fontId="3" fillId="0" borderId="0"/>
    <xf numFmtId="0" fontId="3" fillId="0" borderId="0"/>
    <xf numFmtId="0" fontId="3" fillId="0" borderId="0"/>
    <xf numFmtId="0" fontId="3" fillId="0" borderId="0"/>
  </cellStyleXfs>
  <cellXfs count="329">
    <xf numFmtId="0" fontId="0" fillId="0" borderId="0" xfId="0"/>
    <xf numFmtId="0" fontId="4" fillId="0" borderId="1" xfId="0" applyFont="1" applyBorder="1"/>
    <xf numFmtId="0" fontId="5" fillId="0" borderId="1" xfId="0" applyFont="1" applyBorder="1"/>
    <xf numFmtId="0" fontId="4" fillId="0" borderId="1" xfId="0" applyFont="1" applyBorder="1" applyAlignment="1">
      <alignment horizontal="right"/>
    </xf>
    <xf numFmtId="0" fontId="5" fillId="0" borderId="0" xfId="0" applyFont="1"/>
    <xf numFmtId="0" fontId="6" fillId="0" borderId="0" xfId="0" applyFont="1" applyAlignment="1">
      <alignment horizontal="right"/>
    </xf>
    <xf numFmtId="0" fontId="5" fillId="0" borderId="2" xfId="0" applyFont="1" applyBorder="1" applyAlignment="1">
      <alignment vertical="top" wrapText="1"/>
    </xf>
    <xf numFmtId="0" fontId="5" fillId="0" borderId="0" xfId="0" applyFont="1" applyAlignment="1">
      <alignment vertical="top" wrapText="1"/>
    </xf>
    <xf numFmtId="0" fontId="5" fillId="0" borderId="4" xfId="0" applyFont="1" applyBorder="1" applyAlignment="1">
      <alignment vertical="top" wrapText="1"/>
    </xf>
    <xf numFmtId="0" fontId="7" fillId="0" borderId="0" xfId="0" applyFont="1"/>
    <xf numFmtId="0" fontId="5" fillId="0" borderId="0" xfId="0" quotePrefix="1" applyFont="1" applyAlignment="1">
      <alignment horizontal="center" vertical="top"/>
    </xf>
    <xf numFmtId="0" fontId="5" fillId="0" borderId="0" xfId="0" quotePrefix="1" applyFont="1" applyAlignment="1">
      <alignment horizontal="center"/>
    </xf>
    <xf numFmtId="0" fontId="7" fillId="0" borderId="0" xfId="0" applyFont="1" applyAlignment="1">
      <alignment horizontal="center" vertical="top" wrapText="1"/>
    </xf>
    <xf numFmtId="0" fontId="5" fillId="0" borderId="5" xfId="0" applyFont="1" applyBorder="1"/>
    <xf numFmtId="0" fontId="5" fillId="0" borderId="0" xfId="0" quotePrefix="1" applyFont="1" applyAlignment="1">
      <alignment horizontal="center" vertical="top" wrapText="1"/>
    </xf>
    <xf numFmtId="0" fontId="5" fillId="0" borderId="6" xfId="0" applyFont="1" applyBorder="1" applyAlignment="1">
      <alignment horizontal="center" vertical="center"/>
    </xf>
    <xf numFmtId="0" fontId="5" fillId="0" borderId="6" xfId="0" applyFont="1" applyBorder="1" applyAlignment="1">
      <alignment vertical="top"/>
    </xf>
    <xf numFmtId="0" fontId="5" fillId="0" borderId="6" xfId="0" applyFont="1" applyBorder="1" applyAlignment="1">
      <alignment vertical="top" wrapText="1"/>
    </xf>
    <xf numFmtId="0" fontId="5" fillId="0" borderId="5" xfId="0" applyFont="1" applyBorder="1" applyAlignment="1">
      <alignment horizontal="center" vertical="center"/>
    </xf>
    <xf numFmtId="0" fontId="5" fillId="0" borderId="5" xfId="0" applyFont="1" applyBorder="1" applyAlignment="1">
      <alignment vertical="top"/>
    </xf>
    <xf numFmtId="0" fontId="8" fillId="0" borderId="5" xfId="1" applyFont="1" applyBorder="1" applyAlignment="1">
      <alignment horizontal="center" vertical="center" wrapText="1"/>
    </xf>
    <xf numFmtId="0" fontId="5" fillId="0" borderId="5" xfId="0" applyFont="1" applyBorder="1" applyAlignment="1">
      <alignment vertical="top" wrapText="1"/>
    </xf>
    <xf numFmtId="0" fontId="5" fillId="0" borderId="5" xfId="0" applyFont="1" applyBorder="1" applyAlignment="1">
      <alignment horizontal="center" vertical="center" wrapText="1"/>
    </xf>
    <xf numFmtId="0" fontId="5" fillId="0" borderId="4" xfId="0" applyFont="1" applyBorder="1" applyAlignment="1">
      <alignment horizontal="center" vertical="center" wrapText="1"/>
    </xf>
    <xf numFmtId="0" fontId="5" fillId="0" borderId="4" xfId="0" applyFont="1" applyBorder="1" applyAlignment="1">
      <alignment wrapText="1"/>
    </xf>
    <xf numFmtId="0" fontId="8" fillId="0" borderId="0" xfId="1" applyFont="1" applyAlignment="1">
      <alignment horizontal="center" vertical="center"/>
    </xf>
    <xf numFmtId="0" fontId="8" fillId="0" borderId="4" xfId="1" applyFont="1" applyBorder="1" applyAlignment="1">
      <alignment horizontal="center" vertical="center" wrapText="1"/>
    </xf>
    <xf numFmtId="0" fontId="5" fillId="0" borderId="0" xfId="0" applyFont="1" applyAlignment="1">
      <alignment horizontal="justify" vertical="top" wrapText="1"/>
    </xf>
    <xf numFmtId="0" fontId="5" fillId="0" borderId="0" xfId="0" applyFont="1" applyAlignment="1">
      <alignment horizontal="center" vertical="center" wrapText="1"/>
    </xf>
    <xf numFmtId="0" fontId="5" fillId="0" borderId="0" xfId="0" applyFont="1" applyAlignment="1">
      <alignment wrapText="1"/>
    </xf>
    <xf numFmtId="0" fontId="8" fillId="0" borderId="0" xfId="1" applyFont="1" applyBorder="1" applyAlignment="1">
      <alignment horizontal="center" vertical="center" wrapText="1"/>
    </xf>
    <xf numFmtId="0" fontId="5" fillId="0" borderId="1" xfId="0" applyFont="1" applyBorder="1" applyAlignment="1">
      <alignment horizontal="center" vertical="center"/>
    </xf>
    <xf numFmtId="0" fontId="5" fillId="0" borderId="0" xfId="0" applyFont="1" applyAlignment="1">
      <alignment horizontal="center" vertical="center"/>
    </xf>
    <xf numFmtId="0" fontId="4" fillId="0" borderId="0" xfId="0" applyFont="1" applyAlignment="1">
      <alignment horizontal="right"/>
    </xf>
    <xf numFmtId="0" fontId="4" fillId="0" borderId="0" xfId="0" applyFont="1" applyAlignment="1">
      <alignment horizontal="left" vertical="top"/>
    </xf>
    <xf numFmtId="0" fontId="5" fillId="0" borderId="1" xfId="0" applyFont="1" applyBorder="1" applyAlignment="1">
      <alignment vertical="center"/>
    </xf>
    <xf numFmtId="0" fontId="5" fillId="0" borderId="0" xfId="0" applyFont="1" applyAlignment="1">
      <alignment vertical="center"/>
    </xf>
    <xf numFmtId="0" fontId="4" fillId="0" borderId="0" xfId="0" applyFont="1" applyAlignment="1">
      <alignment horizontal="center"/>
    </xf>
    <xf numFmtId="0" fontId="7" fillId="0" borderId="7" xfId="0" applyFont="1" applyBorder="1" applyAlignment="1">
      <alignment vertical="center"/>
    </xf>
    <xf numFmtId="0" fontId="7" fillId="0" borderId="13" xfId="0" applyFont="1" applyBorder="1" applyAlignment="1">
      <alignment vertical="center"/>
    </xf>
    <xf numFmtId="0" fontId="5" fillId="0" borderId="14" xfId="0" applyFont="1" applyBorder="1" applyAlignment="1">
      <alignment vertical="center"/>
    </xf>
    <xf numFmtId="0" fontId="7" fillId="0" borderId="4" xfId="0" applyFont="1" applyBorder="1" applyAlignment="1">
      <alignment horizontal="center" vertical="top" wrapText="1"/>
    </xf>
    <xf numFmtId="0" fontId="5" fillId="0" borderId="4" xfId="0" applyFont="1" applyBorder="1" applyAlignment="1">
      <alignment horizontal="center" vertical="top"/>
    </xf>
    <xf numFmtId="0" fontId="5" fillId="0" borderId="4" xfId="0" applyFont="1" applyBorder="1" applyAlignment="1">
      <alignment vertical="center" wrapText="1"/>
    </xf>
    <xf numFmtId="0" fontId="5" fillId="0" borderId="4" xfId="0" applyFont="1" applyBorder="1" applyAlignment="1">
      <alignment horizontal="center" vertical="top" wrapText="1"/>
    </xf>
    <xf numFmtId="0" fontId="5" fillId="0" borderId="0" xfId="0" applyFont="1" applyAlignment="1">
      <alignment horizontal="center" vertical="top" wrapText="1"/>
    </xf>
    <xf numFmtId="0" fontId="7" fillId="0" borderId="4" xfId="0" applyFont="1" applyBorder="1" applyAlignment="1">
      <alignment horizontal="center" vertical="top"/>
    </xf>
    <xf numFmtId="0" fontId="5" fillId="0" borderId="4" xfId="0" applyFont="1" applyBorder="1"/>
    <xf numFmtId="0" fontId="5" fillId="0" borderId="4" xfId="0" applyFont="1" applyBorder="1" applyAlignment="1">
      <alignment vertical="top"/>
    </xf>
    <xf numFmtId="0" fontId="7" fillId="0" borderId="7" xfId="0" applyFont="1" applyBorder="1"/>
    <xf numFmtId="0" fontId="5" fillId="0" borderId="13" xfId="0" applyFont="1" applyBorder="1"/>
    <xf numFmtId="0" fontId="5" fillId="0" borderId="14" xfId="0" applyFont="1" applyBorder="1"/>
    <xf numFmtId="0" fontId="7" fillId="0" borderId="12" xfId="0" applyFont="1" applyBorder="1"/>
    <xf numFmtId="0" fontId="5" fillId="0" borderId="9" xfId="0" applyFont="1" applyBorder="1"/>
    <xf numFmtId="0" fontId="5" fillId="0" borderId="12" xfId="0" applyFont="1" applyBorder="1"/>
    <xf numFmtId="0" fontId="7" fillId="0" borderId="8" xfId="0" applyFont="1" applyBorder="1"/>
    <xf numFmtId="0" fontId="5" fillId="0" borderId="11" xfId="0" applyFont="1" applyBorder="1"/>
    <xf numFmtId="0" fontId="10" fillId="0" borderId="0" xfId="0" applyFont="1" applyAlignment="1">
      <alignment horizontal="center" vertical="center" wrapText="1"/>
    </xf>
    <xf numFmtId="0" fontId="5" fillId="0" borderId="5" xfId="0" applyFont="1" applyBorder="1" applyAlignment="1">
      <alignment horizontal="center"/>
    </xf>
    <xf numFmtId="0" fontId="8" fillId="0" borderId="6" xfId="1" applyFont="1" applyBorder="1" applyAlignment="1">
      <alignment horizontal="center" vertical="top" wrapText="1"/>
    </xf>
    <xf numFmtId="0" fontId="5" fillId="0" borderId="5" xfId="0" applyFont="1" applyBorder="1" applyAlignment="1">
      <alignment horizontal="center" vertical="top" wrapText="1"/>
    </xf>
    <xf numFmtId="0" fontId="8" fillId="0" borderId="7" xfId="1" applyFont="1" applyBorder="1" applyAlignment="1">
      <alignment horizontal="center" vertical="center" wrapText="1"/>
    </xf>
    <xf numFmtId="0" fontId="7" fillId="0" borderId="0" xfId="0" applyFont="1" applyAlignment="1">
      <alignment horizontal="center" vertical="center" wrapText="1"/>
    </xf>
    <xf numFmtId="0" fontId="5" fillId="0" borderId="4" xfId="0" applyFont="1" applyBorder="1" applyAlignment="1">
      <alignment horizontal="center"/>
    </xf>
    <xf numFmtId="43" fontId="5" fillId="0" borderId="4" xfId="2" applyFont="1" applyBorder="1"/>
    <xf numFmtId="0" fontId="11" fillId="0" borderId="0" xfId="0" applyFont="1" applyAlignment="1">
      <alignment vertical="top"/>
    </xf>
    <xf numFmtId="0" fontId="12" fillId="0" borderId="0" xfId="0" applyFont="1" applyAlignment="1">
      <alignment vertical="top"/>
    </xf>
    <xf numFmtId="0" fontId="12" fillId="0" borderId="0" xfId="0" applyFont="1" applyAlignment="1">
      <alignment horizontal="left" vertical="top"/>
    </xf>
    <xf numFmtId="0" fontId="12" fillId="0" borderId="0" xfId="0" applyFont="1" applyAlignment="1">
      <alignment horizontal="center" vertical="center"/>
    </xf>
    <xf numFmtId="0" fontId="12" fillId="0" borderId="0" xfId="0" applyFont="1" applyAlignment="1">
      <alignment horizontal="center" vertical="top"/>
    </xf>
    <xf numFmtId="0" fontId="11" fillId="0" borderId="0" xfId="0" applyFont="1" applyAlignment="1">
      <alignment horizontal="right" vertical="top"/>
    </xf>
    <xf numFmtId="0" fontId="4" fillId="0" borderId="4" xfId="0" applyFont="1" applyBorder="1" applyAlignment="1">
      <alignment horizontal="center" wrapText="1"/>
    </xf>
    <xf numFmtId="0" fontId="7" fillId="0" borderId="0" xfId="0" applyFont="1" applyAlignment="1">
      <alignment horizontal="right"/>
    </xf>
    <xf numFmtId="43" fontId="5" fillId="0" borderId="4" xfId="0" applyNumberFormat="1" applyFont="1" applyBorder="1"/>
    <xf numFmtId="9" fontId="5" fillId="0" borderId="4" xfId="3" applyFont="1" applyBorder="1"/>
    <xf numFmtId="0" fontId="7" fillId="0" borderId="0" xfId="0" applyFont="1" applyAlignment="1">
      <alignment horizontal="left"/>
    </xf>
    <xf numFmtId="0" fontId="7" fillId="0" borderId="16" xfId="0" applyFont="1" applyBorder="1"/>
    <xf numFmtId="0" fontId="5" fillId="0" borderId="17" xfId="0" applyFont="1" applyBorder="1"/>
    <xf numFmtId="0" fontId="5" fillId="0" borderId="18" xfId="0" applyFont="1" applyBorder="1"/>
    <xf numFmtId="0" fontId="5" fillId="0" borderId="19" xfId="0" applyFont="1" applyBorder="1"/>
    <xf numFmtId="0" fontId="5" fillId="0" borderId="20" xfId="0" applyFont="1" applyBorder="1"/>
    <xf numFmtId="0" fontId="4" fillId="0" borderId="19" xfId="0" applyFont="1" applyBorder="1"/>
    <xf numFmtId="0" fontId="4" fillId="0" borderId="0" xfId="0" applyFont="1" applyAlignment="1">
      <alignment horizontal="center" wrapText="1"/>
    </xf>
    <xf numFmtId="9" fontId="5" fillId="0" borderId="0" xfId="0" applyNumberFormat="1" applyFont="1" applyAlignment="1">
      <alignment horizontal="center"/>
    </xf>
    <xf numFmtId="0" fontId="7" fillId="0" borderId="19" xfId="0" applyFont="1" applyBorder="1"/>
    <xf numFmtId="0" fontId="5" fillId="0" borderId="0" xfId="0" applyFont="1" applyAlignment="1">
      <alignment horizontal="center"/>
    </xf>
    <xf numFmtId="0" fontId="5" fillId="0" borderId="21" xfId="0" applyFont="1" applyBorder="1"/>
    <xf numFmtId="0" fontId="5" fillId="0" borderId="22" xfId="0" applyFont="1" applyBorder="1"/>
    <xf numFmtId="0" fontId="5" fillId="0" borderId="23" xfId="0" applyFont="1" applyBorder="1"/>
    <xf numFmtId="0" fontId="7" fillId="0" borderId="0" xfId="0" applyFont="1" applyAlignment="1">
      <alignment horizontal="center"/>
    </xf>
    <xf numFmtId="0" fontId="4" fillId="0" borderId="4" xfId="0" applyFont="1" applyBorder="1" applyAlignment="1">
      <alignment horizontal="center"/>
    </xf>
    <xf numFmtId="0" fontId="5" fillId="0" borderId="24" xfId="0" applyFont="1" applyBorder="1" applyAlignment="1">
      <alignment horizontal="center"/>
    </xf>
    <xf numFmtId="0" fontId="5" fillId="0" borderId="19" xfId="0" applyFont="1" applyBorder="1" applyAlignment="1">
      <alignment horizontal="center"/>
    </xf>
    <xf numFmtId="0" fontId="5" fillId="0" borderId="6" xfId="0" applyFont="1" applyBorder="1"/>
    <xf numFmtId="0" fontId="11" fillId="2" borderId="0" xfId="0" applyFont="1" applyFill="1" applyAlignment="1">
      <alignment vertical="top"/>
    </xf>
    <xf numFmtId="0" fontId="5" fillId="2" borderId="0" xfId="0" applyFont="1" applyFill="1"/>
    <xf numFmtId="0" fontId="12" fillId="2" borderId="0" xfId="0" applyFont="1" applyFill="1" applyAlignment="1">
      <alignment vertical="top"/>
    </xf>
    <xf numFmtId="0" fontId="12" fillId="2" borderId="0" xfId="0" applyFont="1" applyFill="1" applyAlignment="1">
      <alignment horizontal="left" vertical="top"/>
    </xf>
    <xf numFmtId="0" fontId="12" fillId="2" borderId="0" xfId="0" applyFont="1" applyFill="1" applyAlignment="1">
      <alignment horizontal="center" vertical="center"/>
    </xf>
    <xf numFmtId="0" fontId="11" fillId="2" borderId="0" xfId="0" applyFont="1" applyFill="1" applyAlignment="1">
      <alignment horizontal="right" vertical="top"/>
    </xf>
    <xf numFmtId="43" fontId="5" fillId="2" borderId="0" xfId="2" applyFont="1" applyFill="1" applyAlignment="1">
      <alignment horizontal="center"/>
    </xf>
    <xf numFmtId="165" fontId="5" fillId="2" borderId="0" xfId="2" applyNumberFormat="1" applyFont="1" applyFill="1" applyAlignment="1">
      <alignment horizontal="center"/>
    </xf>
    <xf numFmtId="0" fontId="7" fillId="2" borderId="0" xfId="0" applyFont="1" applyFill="1"/>
    <xf numFmtId="0" fontId="4" fillId="2" borderId="0" xfId="0" applyFont="1" applyFill="1"/>
    <xf numFmtId="43" fontId="5" fillId="2" borderId="0" xfId="2" applyFont="1" applyFill="1" applyBorder="1" applyAlignment="1">
      <alignment horizontal="center"/>
    </xf>
    <xf numFmtId="0" fontId="5" fillId="2" borderId="0" xfId="0" applyFont="1" applyFill="1" applyAlignment="1">
      <alignment vertical="center"/>
    </xf>
    <xf numFmtId="164" fontId="5" fillId="2" borderId="0" xfId="5" applyFont="1" applyFill="1"/>
    <xf numFmtId="0" fontId="5" fillId="2" borderId="0" xfId="0" applyFont="1" applyFill="1" applyAlignment="1">
      <alignment horizontal="right"/>
    </xf>
    <xf numFmtId="0" fontId="5" fillId="2" borderId="0" xfId="0" applyFont="1" applyFill="1" applyAlignment="1">
      <alignment horizontal="center"/>
    </xf>
    <xf numFmtId="0" fontId="7" fillId="2" borderId="0" xfId="0" applyFont="1" applyFill="1" applyAlignment="1">
      <alignment horizontal="left"/>
    </xf>
    <xf numFmtId="14" fontId="5" fillId="2" borderId="0" xfId="0" applyNumberFormat="1" applyFont="1" applyFill="1" applyAlignment="1">
      <alignment horizontal="right"/>
    </xf>
    <xf numFmtId="164" fontId="5" fillId="2" borderId="0" xfId="5" applyFont="1" applyFill="1" applyAlignment="1">
      <alignment horizontal="right"/>
    </xf>
    <xf numFmtId="164" fontId="5" fillId="2" borderId="0" xfId="0" applyNumberFormat="1" applyFont="1" applyFill="1"/>
    <xf numFmtId="10" fontId="5" fillId="2" borderId="0" xfId="0" applyNumberFormat="1" applyFont="1" applyFill="1" applyAlignment="1">
      <alignment horizontal="right"/>
    </xf>
    <xf numFmtId="164" fontId="5" fillId="2" borderId="0" xfId="0" applyNumberFormat="1" applyFont="1" applyFill="1" applyAlignment="1">
      <alignment horizontal="right"/>
    </xf>
    <xf numFmtId="0" fontId="5" fillId="2" borderId="0" xfId="0" applyFont="1" applyFill="1" applyAlignment="1">
      <alignment horizontal="center" vertical="center" wrapText="1"/>
    </xf>
    <xf numFmtId="10" fontId="5" fillId="2" borderId="0" xfId="0" applyNumberFormat="1" applyFont="1" applyFill="1" applyAlignment="1">
      <alignment horizontal="center"/>
    </xf>
    <xf numFmtId="43" fontId="5" fillId="2" borderId="0" xfId="0" applyNumberFormat="1" applyFont="1" applyFill="1"/>
    <xf numFmtId="0" fontId="13" fillId="2" borderId="0" xfId="0" applyFont="1" applyFill="1"/>
    <xf numFmtId="164" fontId="7" fillId="2" borderId="0" xfId="0" applyNumberFormat="1" applyFont="1" applyFill="1" applyAlignment="1">
      <alignment vertical="center"/>
    </xf>
    <xf numFmtId="43" fontId="5" fillId="2" borderId="0" xfId="2" applyFont="1" applyFill="1"/>
    <xf numFmtId="164" fontId="7" fillId="2" borderId="0" xfId="5" applyFont="1" applyFill="1"/>
    <xf numFmtId="164" fontId="7" fillId="2" borderId="27" xfId="0" applyNumberFormat="1" applyFont="1" applyFill="1" applyBorder="1"/>
    <xf numFmtId="0" fontId="5" fillId="2" borderId="0" xfId="0" applyFont="1" applyFill="1" applyAlignment="1">
      <alignment horizontal="left"/>
    </xf>
    <xf numFmtId="0" fontId="14" fillId="2" borderId="0" xfId="0" applyFont="1" applyFill="1" applyAlignment="1">
      <alignment horizontal="left"/>
    </xf>
    <xf numFmtId="164" fontId="7" fillId="2" borderId="0" xfId="0" applyNumberFormat="1" applyFont="1" applyFill="1"/>
    <xf numFmtId="43" fontId="7" fillId="2" borderId="15" xfId="0" applyNumberFormat="1" applyFont="1" applyFill="1" applyBorder="1"/>
    <xf numFmtId="0" fontId="4" fillId="0" borderId="2" xfId="0" applyFont="1" applyBorder="1" applyAlignment="1">
      <alignment horizontal="justify" vertical="top"/>
    </xf>
    <xf numFmtId="0" fontId="5" fillId="0" borderId="27" xfId="0" applyFont="1" applyBorder="1"/>
    <xf numFmtId="0" fontId="5" fillId="0" borderId="3" xfId="0" applyFont="1" applyBorder="1"/>
    <xf numFmtId="0" fontId="5" fillId="0" borderId="4" xfId="0" quotePrefix="1" applyFont="1" applyBorder="1" applyAlignment="1">
      <alignment horizontal="center" vertical="top" wrapText="1"/>
    </xf>
    <xf numFmtId="0" fontId="5" fillId="0" borderId="4" xfId="0" quotePrefix="1" applyFont="1" applyBorder="1" applyAlignment="1">
      <alignment horizontal="center" vertical="top"/>
    </xf>
    <xf numFmtId="0" fontId="5" fillId="0" borderId="5" xfId="0" quotePrefix="1" applyFont="1" applyBorder="1" applyAlignment="1">
      <alignment horizontal="center" vertical="top" wrapText="1"/>
    </xf>
    <xf numFmtId="0" fontId="5" fillId="0" borderId="10" xfId="0" quotePrefix="1" applyFont="1" applyBorder="1" applyAlignment="1">
      <alignment horizontal="center" vertical="top" wrapText="1"/>
    </xf>
    <xf numFmtId="0" fontId="5" fillId="0" borderId="6" xfId="0" quotePrefix="1" applyFont="1" applyBorder="1" applyAlignment="1">
      <alignment horizontal="center" vertical="top" wrapText="1"/>
    </xf>
    <xf numFmtId="0" fontId="5" fillId="0" borderId="12" xfId="0" applyFont="1" applyBorder="1" applyAlignment="1">
      <alignment horizontal="justify" vertical="top" wrapText="1"/>
    </xf>
    <xf numFmtId="0" fontId="5" fillId="0" borderId="9" xfId="0" applyFont="1" applyBorder="1" applyAlignment="1">
      <alignment horizontal="justify" vertical="top"/>
    </xf>
    <xf numFmtId="0" fontId="5" fillId="0" borderId="8" xfId="0" applyFont="1" applyBorder="1" applyAlignment="1">
      <alignment horizontal="justify" vertical="top" wrapText="1"/>
    </xf>
    <xf numFmtId="0" fontId="5" fillId="0" borderId="11" xfId="0" applyFont="1" applyBorder="1" applyAlignment="1">
      <alignment horizontal="justify" vertical="top"/>
    </xf>
    <xf numFmtId="0" fontId="5" fillId="0" borderId="4" xfId="0" applyFont="1" applyBorder="1" applyAlignment="1">
      <alignment horizontal="left" vertical="top"/>
    </xf>
    <xf numFmtId="0" fontId="5" fillId="0" borderId="4" xfId="0" applyFont="1" applyBorder="1" applyAlignment="1">
      <alignment horizontal="justify" vertical="top" wrapText="1"/>
    </xf>
    <xf numFmtId="0" fontId="5" fillId="0" borderId="3" xfId="0" applyFont="1" applyBorder="1" applyAlignment="1">
      <alignment vertical="top"/>
    </xf>
    <xf numFmtId="0" fontId="5" fillId="0" borderId="10" xfId="0" applyFont="1" applyBorder="1"/>
    <xf numFmtId="0" fontId="5" fillId="0" borderId="2" xfId="0" applyFont="1" applyBorder="1" applyAlignment="1">
      <alignment horizontal="justify" vertical="top" wrapText="1"/>
    </xf>
    <xf numFmtId="0" fontId="5" fillId="0" borderId="4" xfId="0" applyFont="1" applyBorder="1" applyAlignment="1">
      <alignment horizontal="justify" vertical="top"/>
    </xf>
    <xf numFmtId="0" fontId="4" fillId="0" borderId="5" xfId="0" applyFont="1" applyBorder="1" applyAlignment="1">
      <alignment horizontal="left" vertical="top"/>
    </xf>
    <xf numFmtId="0" fontId="5" fillId="0" borderId="4" xfId="0" quotePrefix="1" applyFont="1" applyBorder="1"/>
    <xf numFmtId="0" fontId="5" fillId="0" borderId="4" xfId="0" quotePrefix="1" applyFont="1" applyBorder="1" applyAlignment="1">
      <alignment horizontal="center" vertical="center"/>
    </xf>
    <xf numFmtId="0" fontId="15" fillId="0" borderId="0" xfId="0" applyFont="1" applyAlignment="1">
      <alignment vertical="top"/>
    </xf>
    <xf numFmtId="0" fontId="16" fillId="0" borderId="0" xfId="0" applyFont="1" applyAlignment="1">
      <alignment vertical="top"/>
    </xf>
    <xf numFmtId="0" fontId="16" fillId="0" borderId="0" xfId="0" applyFont="1" applyAlignment="1">
      <alignment horizontal="left" vertical="top"/>
    </xf>
    <xf numFmtId="0" fontId="16" fillId="0" borderId="0" xfId="0" applyFont="1" applyAlignment="1">
      <alignment horizontal="center" vertical="center"/>
    </xf>
    <xf numFmtId="0" fontId="16" fillId="0" borderId="0" xfId="0" applyFont="1" applyAlignment="1">
      <alignment horizontal="center" vertical="top"/>
    </xf>
    <xf numFmtId="0" fontId="15" fillId="0" borderId="0" xfId="0" applyFont="1" applyAlignment="1">
      <alignment horizontal="right" vertical="top"/>
    </xf>
    <xf numFmtId="0" fontId="17" fillId="0" borderId="0" xfId="0" applyFont="1"/>
    <xf numFmtId="0" fontId="18" fillId="0" borderId="0" xfId="0" applyFont="1"/>
    <xf numFmtId="0" fontId="18" fillId="0" borderId="0" xfId="0" applyFont="1" applyAlignment="1">
      <alignment horizontal="center" vertical="center" wrapText="1"/>
    </xf>
    <xf numFmtId="0" fontId="19" fillId="0" borderId="4" xfId="0" applyFont="1" applyBorder="1" applyAlignment="1">
      <alignment horizontal="center" wrapText="1"/>
    </xf>
    <xf numFmtId="0" fontId="17" fillId="0" borderId="4" xfId="0" applyFont="1" applyBorder="1"/>
    <xf numFmtId="0" fontId="17" fillId="0" borderId="4" xfId="0" applyFont="1" applyBorder="1" applyAlignment="1">
      <alignment horizontal="center"/>
    </xf>
    <xf numFmtId="43" fontId="17" fillId="0" borderId="4" xfId="2" applyFont="1" applyBorder="1"/>
    <xf numFmtId="0" fontId="17" fillId="0" borderId="4" xfId="0" applyFont="1" applyBorder="1" applyAlignment="1">
      <alignment horizontal="left" vertical="center"/>
    </xf>
    <xf numFmtId="0" fontId="17" fillId="0" borderId="4" xfId="0" applyFont="1" applyBorder="1" applyAlignment="1">
      <alignment horizontal="left"/>
    </xf>
    <xf numFmtId="0" fontId="19" fillId="0" borderId="4" xfId="0" applyFont="1" applyBorder="1" applyAlignment="1">
      <alignment horizontal="center" vertical="center" wrapText="1"/>
    </xf>
    <xf numFmtId="43" fontId="17" fillId="0" borderId="5" xfId="2" applyFont="1" applyBorder="1"/>
    <xf numFmtId="0" fontId="18" fillId="0" borderId="0" xfId="0" applyFont="1" applyAlignment="1">
      <alignment horizontal="right"/>
    </xf>
    <xf numFmtId="0" fontId="20" fillId="0" borderId="0" xfId="0" applyFont="1"/>
    <xf numFmtId="0" fontId="19" fillId="0" borderId="0" xfId="0" applyFont="1" applyAlignment="1">
      <alignment horizontal="center"/>
    </xf>
    <xf numFmtId="0" fontId="19" fillId="0" borderId="4" xfId="0" applyFont="1" applyBorder="1" applyAlignment="1">
      <alignment horizontal="center"/>
    </xf>
    <xf numFmtId="0" fontId="17" fillId="0" borderId="4" xfId="0" quotePrefix="1" applyFont="1" applyBorder="1" applyAlignment="1">
      <alignment horizontal="center"/>
    </xf>
    <xf numFmtId="0" fontId="21" fillId="3" borderId="0" xfId="7" applyNumberFormat="1" applyFont="1" applyFill="1" applyBorder="1" applyAlignment="1">
      <alignment horizontal="left" indent="9"/>
    </xf>
    <xf numFmtId="0" fontId="22" fillId="3" borderId="0" xfId="8" applyFont="1" applyFill="1" applyAlignment="1"/>
    <xf numFmtId="0" fontId="22" fillId="3" borderId="0" xfId="8" applyFont="1" applyFill="1" applyAlignment="1">
      <alignment horizontal="center"/>
    </xf>
    <xf numFmtId="0" fontId="22" fillId="3" borderId="0" xfId="8" applyFont="1" applyFill="1" applyAlignment="1">
      <alignment vertical="center"/>
    </xf>
    <xf numFmtId="0" fontId="23" fillId="3" borderId="0" xfId="0" applyFont="1" applyFill="1"/>
    <xf numFmtId="0" fontId="24" fillId="3" borderId="4" xfId="9" applyFont="1" applyFill="1" applyBorder="1" applyAlignment="1">
      <alignment horizontal="left" vertical="center"/>
    </xf>
    <xf numFmtId="0" fontId="22" fillId="3" borderId="4" xfId="8" applyFont="1" applyFill="1" applyBorder="1" applyAlignment="1">
      <alignment horizontal="left" vertical="center"/>
    </xf>
    <xf numFmtId="0" fontId="24" fillId="3" borderId="4" xfId="9" applyFont="1" applyFill="1" applyBorder="1" applyAlignment="1">
      <alignment horizontal="center" vertical="center"/>
    </xf>
    <xf numFmtId="14" fontId="22" fillId="3" borderId="4" xfId="10" quotePrefix="1" applyNumberFormat="1" applyFont="1" applyFill="1" applyBorder="1" applyAlignment="1">
      <alignment horizontal="left" vertical="center"/>
    </xf>
    <xf numFmtId="0" fontId="22" fillId="3" borderId="0" xfId="8" applyFont="1" applyFill="1" applyAlignment="1">
      <alignment horizontal="left"/>
    </xf>
    <xf numFmtId="0" fontId="22" fillId="3" borderId="4" xfId="10" applyFont="1" applyFill="1" applyBorder="1"/>
    <xf numFmtId="0" fontId="22" fillId="3" borderId="4" xfId="8" applyFont="1" applyFill="1" applyBorder="1" applyAlignment="1"/>
    <xf numFmtId="0" fontId="24" fillId="3" borderId="4" xfId="9" applyFont="1" applyFill="1" applyBorder="1" applyAlignment="1">
      <alignment horizontal="center"/>
    </xf>
    <xf numFmtId="14" fontId="22" fillId="3" borderId="4" xfId="10" quotePrefix="1" applyNumberFormat="1" applyFont="1" applyFill="1" applyBorder="1" applyAlignment="1">
      <alignment horizontal="center"/>
    </xf>
    <xf numFmtId="0" fontId="22" fillId="3" borderId="0" xfId="11" applyFont="1" applyFill="1" applyAlignment="1">
      <alignment horizontal="left"/>
    </xf>
    <xf numFmtId="0" fontId="24" fillId="0" borderId="0" xfId="9" applyFont="1" applyFill="1" applyAlignment="1">
      <alignment horizontal="center"/>
    </xf>
    <xf numFmtId="14" fontId="22" fillId="0" borderId="0" xfId="10" quotePrefix="1" applyNumberFormat="1" applyFont="1" applyAlignment="1">
      <alignment horizontal="center"/>
    </xf>
    <xf numFmtId="0" fontId="22" fillId="0" borderId="0" xfId="8" applyFont="1" applyAlignment="1"/>
    <xf numFmtId="0" fontId="25" fillId="0" borderId="0" xfId="12" applyFont="1" applyAlignment="1">
      <alignment horizontal="left" vertical="center" wrapText="1"/>
    </xf>
    <xf numFmtId="0" fontId="22" fillId="0" borderId="8" xfId="8" applyFont="1" applyBorder="1" applyAlignment="1"/>
    <xf numFmtId="166" fontId="21" fillId="0" borderId="5" xfId="8" applyNumberFormat="1" applyFont="1" applyBorder="1" applyAlignment="1">
      <alignment horizontal="center" wrapText="1"/>
    </xf>
    <xf numFmtId="0" fontId="21" fillId="0" borderId="4" xfId="8" applyFont="1" applyBorder="1" applyAlignment="1"/>
    <xf numFmtId="166" fontId="21" fillId="0" borderId="0" xfId="8" applyNumberFormat="1" applyFont="1" applyAlignment="1">
      <alignment horizontal="center" wrapText="1"/>
    </xf>
    <xf numFmtId="165" fontId="21" fillId="0" borderId="0" xfId="2" applyNumberFormat="1" applyFont="1" applyFill="1" applyBorder="1" applyAlignment="1"/>
    <xf numFmtId="0" fontId="22" fillId="0" borderId="0" xfId="8" applyFont="1" applyAlignment="1">
      <alignment horizontal="center"/>
    </xf>
    <xf numFmtId="0" fontId="27" fillId="0" borderId="0" xfId="8" applyFont="1" applyAlignment="1"/>
    <xf numFmtId="0" fontId="22" fillId="0" borderId="0" xfId="8" applyFont="1">
      <alignment vertical="top"/>
    </xf>
    <xf numFmtId="0" fontId="22" fillId="0" borderId="0" xfId="8" applyFont="1" applyAlignment="1">
      <alignment horizontal="center" vertical="top"/>
    </xf>
    <xf numFmtId="0" fontId="18" fillId="7" borderId="21" xfId="0" applyFont="1" applyFill="1" applyBorder="1"/>
    <xf numFmtId="0" fontId="17" fillId="2" borderId="0" xfId="0" applyFont="1" applyFill="1"/>
    <xf numFmtId="0" fontId="18" fillId="2" borderId="0" xfId="0" applyFont="1" applyFill="1"/>
    <xf numFmtId="43" fontId="17" fillId="2" borderId="0" xfId="2" applyFont="1" applyFill="1" applyBorder="1" applyAlignment="1">
      <alignment horizontal="center"/>
    </xf>
    <xf numFmtId="0" fontId="17" fillId="2" borderId="0" xfId="0" applyFont="1" applyFill="1" applyAlignment="1">
      <alignment vertical="center"/>
    </xf>
    <xf numFmtId="164" fontId="17" fillId="2" borderId="0" xfId="5" applyFont="1" applyFill="1"/>
    <xf numFmtId="0" fontId="17" fillId="2" borderId="0" xfId="0" applyFont="1" applyFill="1" applyAlignment="1">
      <alignment horizontal="right"/>
    </xf>
    <xf numFmtId="0" fontId="17" fillId="2" borderId="0" xfId="0" applyFont="1" applyFill="1" applyAlignment="1">
      <alignment horizontal="center"/>
    </xf>
    <xf numFmtId="0" fontId="18" fillId="2" borderId="0" xfId="0" applyFont="1" applyFill="1" applyAlignment="1">
      <alignment horizontal="left"/>
    </xf>
    <xf numFmtId="14" fontId="17" fillId="2" borderId="0" xfId="0" applyNumberFormat="1" applyFont="1" applyFill="1" applyAlignment="1">
      <alignment horizontal="right"/>
    </xf>
    <xf numFmtId="164" fontId="17" fillId="2" borderId="0" xfId="5" applyFont="1" applyFill="1" applyAlignment="1">
      <alignment horizontal="right"/>
    </xf>
    <xf numFmtId="164" fontId="17" fillId="2" borderId="0" xfId="0" applyNumberFormat="1" applyFont="1" applyFill="1"/>
    <xf numFmtId="10" fontId="17" fillId="2" borderId="0" xfId="0" applyNumberFormat="1" applyFont="1" applyFill="1" applyAlignment="1">
      <alignment horizontal="right"/>
    </xf>
    <xf numFmtId="164" fontId="17" fillId="2" borderId="0" xfId="0" applyNumberFormat="1" applyFont="1" applyFill="1" applyAlignment="1">
      <alignment horizontal="right"/>
    </xf>
    <xf numFmtId="0" fontId="17" fillId="2" borderId="0" xfId="0" applyFont="1" applyFill="1" applyAlignment="1">
      <alignment horizontal="center" vertical="center" wrapText="1"/>
    </xf>
    <xf numFmtId="10" fontId="17" fillId="2" borderId="0" xfId="0" applyNumberFormat="1" applyFont="1" applyFill="1" applyAlignment="1">
      <alignment horizontal="center"/>
    </xf>
    <xf numFmtId="43" fontId="17" fillId="2" borderId="0" xfId="0" applyNumberFormat="1" applyFont="1" applyFill="1"/>
    <xf numFmtId="164" fontId="18" fillId="2" borderId="0" xfId="0" applyNumberFormat="1" applyFont="1" applyFill="1" applyAlignment="1">
      <alignment vertical="center"/>
    </xf>
    <xf numFmtId="43" fontId="17" fillId="2" borderId="0" xfId="2" applyFont="1" applyFill="1"/>
    <xf numFmtId="164" fontId="18" fillId="2" borderId="0" xfId="5" applyFont="1" applyFill="1"/>
    <xf numFmtId="164" fontId="18" fillId="2" borderId="27" xfId="0" applyNumberFormat="1" applyFont="1" applyFill="1" applyBorder="1"/>
    <xf numFmtId="0" fontId="17" fillId="2" borderId="0" xfId="0" applyFont="1" applyFill="1" applyAlignment="1">
      <alignment horizontal="left"/>
    </xf>
    <xf numFmtId="164" fontId="18" fillId="2" borderId="0" xfId="0" applyNumberFormat="1" applyFont="1" applyFill="1"/>
    <xf numFmtId="43" fontId="18" fillId="2" borderId="15" xfId="0" applyNumberFormat="1" applyFont="1" applyFill="1" applyBorder="1"/>
    <xf numFmtId="43" fontId="17" fillId="2" borderId="0" xfId="2" applyFont="1" applyFill="1" applyAlignment="1">
      <alignment horizontal="center"/>
    </xf>
    <xf numFmtId="165" fontId="17" fillId="2" borderId="0" xfId="2" applyNumberFormat="1" applyFont="1" applyFill="1" applyAlignment="1">
      <alignment horizontal="center"/>
    </xf>
    <xf numFmtId="0" fontId="18" fillId="7" borderId="16" xfId="0" applyFont="1" applyFill="1" applyBorder="1"/>
    <xf numFmtId="0" fontId="17" fillId="7" borderId="17" xfId="0" applyFont="1" applyFill="1" applyBorder="1"/>
    <xf numFmtId="0" fontId="19" fillId="7" borderId="17" xfId="0" applyFont="1" applyFill="1" applyBorder="1"/>
    <xf numFmtId="43" fontId="17" fillId="7" borderId="17" xfId="2" applyFont="1" applyFill="1" applyBorder="1" applyAlignment="1">
      <alignment horizontal="center"/>
    </xf>
    <xf numFmtId="0" fontId="17" fillId="7" borderId="18" xfId="0" applyFont="1" applyFill="1" applyBorder="1" applyAlignment="1">
      <alignment vertical="center"/>
    </xf>
    <xf numFmtId="0" fontId="18" fillId="7" borderId="19" xfId="0" applyFont="1" applyFill="1" applyBorder="1"/>
    <xf numFmtId="0" fontId="17" fillId="7" borderId="0" xfId="0" applyFont="1" applyFill="1"/>
    <xf numFmtId="43" fontId="17" fillId="7" borderId="0" xfId="2" applyFont="1" applyFill="1" applyBorder="1" applyAlignment="1">
      <alignment horizontal="center"/>
    </xf>
    <xf numFmtId="0" fontId="17" fillId="7" borderId="20" xfId="0" applyFont="1" applyFill="1" applyBorder="1" applyAlignment="1">
      <alignment vertical="center"/>
    </xf>
    <xf numFmtId="0" fontId="17" fillId="7" borderId="22" xfId="0" applyFont="1" applyFill="1" applyBorder="1"/>
    <xf numFmtId="43" fontId="17" fillId="7" borderId="22" xfId="2" applyFont="1" applyFill="1" applyBorder="1" applyAlignment="1">
      <alignment horizontal="center"/>
    </xf>
    <xf numFmtId="0" fontId="17" fillId="7" borderId="23" xfId="0" applyFont="1" applyFill="1" applyBorder="1" applyAlignment="1">
      <alignment vertical="center"/>
    </xf>
    <xf numFmtId="0" fontId="17" fillId="6" borderId="25" xfId="0" applyFont="1" applyFill="1" applyBorder="1"/>
    <xf numFmtId="0" fontId="17" fillId="6" borderId="28" xfId="0" applyFont="1" applyFill="1" applyBorder="1"/>
    <xf numFmtId="165" fontId="22" fillId="0" borderId="12" xfId="2" applyNumberFormat="1" applyFont="1" applyBorder="1" applyAlignment="1"/>
    <xf numFmtId="165" fontId="21" fillId="0" borderId="10" xfId="2" applyNumberFormat="1" applyFont="1" applyBorder="1" applyAlignment="1">
      <alignment horizontal="center" wrapText="1"/>
    </xf>
    <xf numFmtId="165" fontId="22" fillId="0" borderId="15" xfId="2" applyNumberFormat="1" applyFont="1" applyBorder="1" applyAlignment="1"/>
    <xf numFmtId="0" fontId="5" fillId="0" borderId="0" xfId="0" applyFont="1" applyAlignment="1">
      <alignment horizontal="justify" vertical="top" wrapText="1"/>
    </xf>
    <xf numFmtId="0" fontId="5" fillId="0" borderId="5" xfId="0" applyFont="1" applyBorder="1" applyAlignment="1">
      <alignment horizontal="center" vertical="top" wrapText="1"/>
    </xf>
    <xf numFmtId="0" fontId="5" fillId="0" borderId="10" xfId="0" applyFont="1" applyBorder="1" applyAlignment="1">
      <alignment horizontal="center" vertical="top" wrapText="1"/>
    </xf>
    <xf numFmtId="0" fontId="5" fillId="0" borderId="6" xfId="0" applyFont="1" applyBorder="1" applyAlignment="1">
      <alignment horizontal="center" vertical="top" wrapText="1"/>
    </xf>
    <xf numFmtId="0" fontId="5" fillId="0" borderId="4" xfId="0" applyFont="1" applyBorder="1" applyAlignment="1">
      <alignment horizontal="center" vertical="top" wrapText="1"/>
    </xf>
    <xf numFmtId="0" fontId="5" fillId="0" borderId="5" xfId="0" applyFont="1" applyBorder="1" applyAlignment="1">
      <alignment horizontal="center" wrapText="1"/>
    </xf>
    <xf numFmtId="0" fontId="5" fillId="0" borderId="10" xfId="0" applyFont="1" applyBorder="1" applyAlignment="1">
      <alignment horizontal="center" wrapText="1"/>
    </xf>
    <xf numFmtId="0" fontId="5" fillId="0" borderId="6" xfId="0" applyFont="1" applyBorder="1" applyAlignment="1">
      <alignment horizontal="center" wrapText="1"/>
    </xf>
    <xf numFmtId="0" fontId="5" fillId="0" borderId="4" xfId="0" applyFont="1" applyBorder="1" applyAlignment="1">
      <alignment horizontal="justify" vertical="top" wrapText="1"/>
    </xf>
    <xf numFmtId="0" fontId="5" fillId="0" borderId="2" xfId="0" applyFont="1" applyBorder="1" applyAlignment="1">
      <alignment horizontal="justify" vertical="top" wrapText="1"/>
    </xf>
    <xf numFmtId="0" fontId="5" fillId="0" borderId="3" xfId="0" applyFont="1" applyBorder="1" applyAlignment="1">
      <alignment horizontal="justify" vertical="top" wrapText="1"/>
    </xf>
    <xf numFmtId="0" fontId="5" fillId="0" borderId="5"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6" xfId="0" applyFont="1" applyBorder="1" applyAlignment="1">
      <alignment horizontal="center" vertical="center" wrapText="1"/>
    </xf>
    <xf numFmtId="0" fontId="8" fillId="0" borderId="5" xfId="1" applyFont="1" applyBorder="1" applyAlignment="1">
      <alignment horizontal="center" vertical="center" wrapText="1"/>
    </xf>
    <xf numFmtId="0" fontId="8" fillId="0" borderId="10" xfId="1" applyFont="1" applyBorder="1" applyAlignment="1">
      <alignment horizontal="center" vertical="center" wrapText="1"/>
    </xf>
    <xf numFmtId="0" fontId="8" fillId="0" borderId="6" xfId="1" applyFont="1" applyBorder="1" applyAlignment="1">
      <alignment horizontal="center" vertical="center" wrapText="1"/>
    </xf>
    <xf numFmtId="0" fontId="5" fillId="0" borderId="5" xfId="0" applyFont="1" applyBorder="1" applyAlignment="1">
      <alignment vertical="top" wrapText="1"/>
    </xf>
    <xf numFmtId="0" fontId="5" fillId="0" borderId="10" xfId="0" applyFont="1" applyBorder="1" applyAlignment="1">
      <alignment vertical="top" wrapText="1"/>
    </xf>
    <xf numFmtId="0" fontId="5" fillId="0" borderId="6" xfId="0" applyFont="1" applyBorder="1" applyAlignment="1">
      <alignment vertical="top" wrapText="1"/>
    </xf>
    <xf numFmtId="0" fontId="9" fillId="0" borderId="4" xfId="0" applyFont="1" applyBorder="1" applyAlignment="1">
      <alignment wrapText="1"/>
    </xf>
    <xf numFmtId="0" fontId="5" fillId="0" borderId="4" xfId="0" applyFont="1" applyBorder="1" applyAlignment="1">
      <alignment wrapText="1"/>
    </xf>
    <xf numFmtId="0" fontId="5" fillId="0" borderId="4" xfId="0" applyFont="1" applyBorder="1" applyAlignment="1">
      <alignment horizontal="center" vertical="center" wrapText="1"/>
    </xf>
    <xf numFmtId="0" fontId="5" fillId="0" borderId="4" xfId="0" applyFont="1" applyBorder="1" applyAlignment="1">
      <alignment vertical="top" wrapText="1"/>
    </xf>
    <xf numFmtId="0" fontId="5" fillId="0" borderId="2" xfId="0" applyFont="1" applyBorder="1" applyAlignment="1">
      <alignment vertical="top" wrapText="1"/>
    </xf>
    <xf numFmtId="0" fontId="5" fillId="0" borderId="3" xfId="0" applyFont="1" applyBorder="1" applyAlignment="1">
      <alignment vertical="top" wrapText="1"/>
    </xf>
    <xf numFmtId="0" fontId="7" fillId="0" borderId="0" xfId="0" applyFont="1" applyAlignment="1">
      <alignment horizontal="center" vertical="top" wrapText="1"/>
    </xf>
    <xf numFmtId="0" fontId="7" fillId="0" borderId="5" xfId="0" applyFont="1" applyBorder="1" applyAlignment="1">
      <alignment horizontal="center" wrapText="1"/>
    </xf>
    <xf numFmtId="0" fontId="7" fillId="0" borderId="10" xfId="0" applyFont="1" applyBorder="1" applyAlignment="1">
      <alignment horizontal="center" wrapText="1"/>
    </xf>
    <xf numFmtId="0" fontId="8" fillId="0" borderId="5" xfId="1" applyFont="1" applyBorder="1" applyAlignment="1">
      <alignment horizontal="center" vertical="center"/>
    </xf>
    <xf numFmtId="0" fontId="8" fillId="0" borderId="6" xfId="1" applyFont="1" applyBorder="1" applyAlignment="1">
      <alignment horizontal="center" vertical="center"/>
    </xf>
    <xf numFmtId="0" fontId="8" fillId="0" borderId="0" xfId="1" applyFont="1" applyAlignment="1">
      <alignment horizontal="center" vertical="center"/>
    </xf>
    <xf numFmtId="0" fontId="5" fillId="0" borderId="5" xfId="0" applyFont="1" applyBorder="1" applyAlignment="1">
      <alignment wrapText="1"/>
    </xf>
    <xf numFmtId="0" fontId="5" fillId="0" borderId="10" xfId="0" applyFont="1" applyBorder="1" applyAlignment="1">
      <alignment wrapText="1"/>
    </xf>
    <xf numFmtId="0" fontId="5" fillId="0" borderId="6" xfId="0" applyFont="1" applyBorder="1" applyAlignment="1">
      <alignment wrapText="1"/>
    </xf>
    <xf numFmtId="0" fontId="4" fillId="0" borderId="10" xfId="0" applyFont="1" applyBorder="1" applyAlignment="1">
      <alignment vertical="top" wrapText="1"/>
    </xf>
    <xf numFmtId="0" fontId="7" fillId="0" borderId="6" xfId="0" applyFont="1" applyBorder="1" applyAlignment="1">
      <alignment horizontal="center" wrapText="1"/>
    </xf>
    <xf numFmtId="0" fontId="5" fillId="0" borderId="7" xfId="0" applyFont="1" applyBorder="1" applyAlignment="1">
      <alignment vertical="top" wrapText="1"/>
    </xf>
    <xf numFmtId="0" fontId="5" fillId="0" borderId="13" xfId="0" applyFont="1" applyBorder="1" applyAlignment="1">
      <alignment vertical="top" wrapText="1"/>
    </xf>
    <xf numFmtId="0" fontId="7" fillId="0" borderId="7" xfId="0" applyFont="1" applyBorder="1" applyAlignment="1">
      <alignment horizontal="center" vertical="top" wrapText="1"/>
    </xf>
    <xf numFmtId="0" fontId="5" fillId="0" borderId="14" xfId="0" applyFont="1" applyBorder="1" applyAlignment="1">
      <alignment horizontal="center" wrapText="1"/>
    </xf>
    <xf numFmtId="0" fontId="5" fillId="0" borderId="8" xfId="0" applyFont="1" applyBorder="1" applyAlignment="1">
      <alignment wrapText="1"/>
    </xf>
    <xf numFmtId="0" fontId="5" fillId="0" borderId="11" xfId="0" applyFont="1" applyBorder="1" applyAlignment="1">
      <alignment wrapText="1"/>
    </xf>
    <xf numFmtId="0" fontId="7" fillId="0" borderId="5" xfId="0" applyFont="1" applyBorder="1" applyAlignment="1">
      <alignment horizontal="center" vertical="center" wrapText="1"/>
    </xf>
    <xf numFmtId="0" fontId="0" fillId="0" borderId="13" xfId="0" applyBorder="1" applyAlignment="1">
      <alignment horizontal="center" vertical="top" wrapText="1"/>
    </xf>
    <xf numFmtId="0" fontId="0" fillId="0" borderId="14" xfId="0" applyBorder="1" applyAlignment="1">
      <alignment horizontal="center" vertical="top" wrapText="1"/>
    </xf>
    <xf numFmtId="0" fontId="7" fillId="0" borderId="2" xfId="0" applyFont="1" applyBorder="1" applyAlignment="1">
      <alignment horizontal="center" vertical="top" wrapText="1"/>
    </xf>
    <xf numFmtId="0" fontId="0" fillId="0" borderId="3" xfId="0" applyBorder="1" applyAlignment="1">
      <alignment vertical="top" wrapText="1"/>
    </xf>
    <xf numFmtId="0" fontId="4" fillId="0" borderId="4" xfId="0" applyFont="1" applyBorder="1" applyAlignment="1">
      <alignment wrapText="1"/>
    </xf>
    <xf numFmtId="0" fontId="5" fillId="0" borderId="0" xfId="0" applyFont="1" applyAlignment="1">
      <alignment horizontal="justify" wrapText="1"/>
    </xf>
    <xf numFmtId="0" fontId="5" fillId="0" borderId="0" xfId="0" applyFont="1" applyAlignment="1">
      <alignment wrapText="1"/>
    </xf>
    <xf numFmtId="0" fontId="7" fillId="0" borderId="2" xfId="0" applyFont="1" applyBorder="1" applyAlignment="1">
      <alignment wrapText="1"/>
    </xf>
    <xf numFmtId="0" fontId="5" fillId="0" borderId="3" xfId="0" applyFont="1" applyBorder="1" applyAlignment="1">
      <alignment wrapText="1"/>
    </xf>
    <xf numFmtId="0" fontId="8" fillId="0" borderId="4" xfId="1" applyFont="1" applyBorder="1" applyAlignment="1">
      <alignment horizontal="center" vertical="center" wrapText="1"/>
    </xf>
    <xf numFmtId="0" fontId="22" fillId="0" borderId="0" xfId="8" applyFont="1" applyAlignment="1">
      <alignment horizontal="left" vertical="center" wrapText="1"/>
    </xf>
    <xf numFmtId="0" fontId="28" fillId="4" borderId="25" xfId="8" applyFont="1" applyFill="1" applyBorder="1" applyAlignment="1">
      <alignment horizontal="center" vertical="center"/>
    </xf>
    <xf numFmtId="0" fontId="28" fillId="4" borderId="28" xfId="8" applyFont="1" applyFill="1" applyBorder="1" applyAlignment="1">
      <alignment horizontal="center" vertical="center"/>
    </xf>
    <xf numFmtId="0" fontId="28" fillId="4" borderId="26" xfId="8" applyFont="1" applyFill="1" applyBorder="1" applyAlignment="1">
      <alignment horizontal="center" vertical="center"/>
    </xf>
    <xf numFmtId="0" fontId="21" fillId="3" borderId="0" xfId="0" applyFont="1" applyFill="1" applyAlignment="1">
      <alignment horizontal="left" wrapText="1"/>
    </xf>
    <xf numFmtId="0" fontId="25" fillId="0" borderId="0" xfId="12" applyFont="1" applyAlignment="1">
      <alignment horizontal="left" vertical="center" wrapText="1"/>
    </xf>
    <xf numFmtId="0" fontId="26" fillId="5" borderId="16" xfId="13" applyFont="1" applyFill="1" applyBorder="1" applyAlignment="1">
      <alignment horizontal="center" vertical="center"/>
    </xf>
    <xf numFmtId="0" fontId="26" fillId="5" borderId="17" xfId="13" applyFont="1" applyFill="1" applyBorder="1" applyAlignment="1">
      <alignment horizontal="center" vertical="center"/>
    </xf>
    <xf numFmtId="0" fontId="26" fillId="5" borderId="18" xfId="13" applyFont="1" applyFill="1" applyBorder="1" applyAlignment="1">
      <alignment horizontal="center" vertical="center"/>
    </xf>
    <xf numFmtId="0" fontId="26" fillId="5" borderId="21" xfId="13" applyFont="1" applyFill="1" applyBorder="1" applyAlignment="1">
      <alignment horizontal="center" vertical="center"/>
    </xf>
    <xf numFmtId="0" fontId="26" fillId="5" borderId="22" xfId="13" applyFont="1" applyFill="1" applyBorder="1" applyAlignment="1">
      <alignment horizontal="center" vertical="center"/>
    </xf>
    <xf numFmtId="0" fontId="26" fillId="5" borderId="23" xfId="13" applyFont="1" applyFill="1" applyBorder="1" applyAlignment="1">
      <alignment horizontal="center" vertical="center"/>
    </xf>
    <xf numFmtId="166" fontId="26" fillId="5" borderId="25" xfId="14" applyNumberFormat="1" applyFont="1" applyFill="1" applyBorder="1" applyAlignment="1">
      <alignment horizontal="center" vertical="center" wrapText="1"/>
    </xf>
    <xf numFmtId="166" fontId="26" fillId="5" borderId="26" xfId="14" applyNumberFormat="1" applyFont="1" applyFill="1" applyBorder="1" applyAlignment="1">
      <alignment horizontal="center" vertical="center" wrapText="1"/>
    </xf>
    <xf numFmtId="166" fontId="26" fillId="0" borderId="0" xfId="14" applyNumberFormat="1" applyFont="1" applyAlignment="1">
      <alignment horizontal="center" vertical="center" wrapText="1"/>
    </xf>
    <xf numFmtId="0" fontId="22" fillId="0" borderId="6" xfId="8" applyFont="1" applyBorder="1" applyAlignment="1">
      <alignment horizontal="center"/>
    </xf>
    <xf numFmtId="0" fontId="22" fillId="0" borderId="2" xfId="8" applyFont="1" applyBorder="1" applyAlignment="1">
      <alignment horizontal="center"/>
    </xf>
    <xf numFmtId="0" fontId="22" fillId="0" borderId="27" xfId="8" applyFont="1" applyBorder="1" applyAlignment="1">
      <alignment horizontal="center"/>
    </xf>
    <xf numFmtId="0" fontId="22" fillId="0" borderId="3" xfId="8" applyFont="1" applyBorder="1" applyAlignment="1">
      <alignment horizontal="center"/>
    </xf>
    <xf numFmtId="0" fontId="22" fillId="0" borderId="0" xfId="8" applyFont="1" applyAlignment="1">
      <alignment horizontal="center"/>
    </xf>
    <xf numFmtId="0" fontId="22" fillId="0" borderId="0" xfId="8" applyFont="1" applyAlignment="1">
      <alignment horizontal="left" wrapText="1"/>
    </xf>
    <xf numFmtId="0" fontId="5" fillId="0" borderId="0" xfId="0" applyFont="1" applyAlignment="1">
      <alignment horizontal="center" vertical="center"/>
    </xf>
    <xf numFmtId="0" fontId="5" fillId="0" borderId="0" xfId="0" applyFont="1" applyAlignment="1">
      <alignment horizontal="center"/>
    </xf>
    <xf numFmtId="0" fontId="18" fillId="2" borderId="25" xfId="0" applyFont="1" applyFill="1" applyBorder="1" applyAlignment="1">
      <alignment horizontal="center" vertical="center" wrapText="1"/>
    </xf>
    <xf numFmtId="0" fontId="18" fillId="2" borderId="26" xfId="0" applyFont="1" applyFill="1" applyBorder="1" applyAlignment="1">
      <alignment horizontal="center" vertical="center" wrapText="1"/>
    </xf>
    <xf numFmtId="0" fontId="29" fillId="7" borderId="29" xfId="0" applyFont="1" applyFill="1" applyBorder="1" applyAlignment="1">
      <alignment horizontal="center" vertical="center"/>
    </xf>
    <xf numFmtId="0" fontId="29" fillId="7" borderId="30" xfId="0" applyFont="1" applyFill="1" applyBorder="1" applyAlignment="1">
      <alignment horizontal="center" vertical="center"/>
    </xf>
    <xf numFmtId="0" fontId="29" fillId="7" borderId="31" xfId="0" applyFont="1" applyFill="1" applyBorder="1" applyAlignment="1">
      <alignment horizontal="center" vertical="center"/>
    </xf>
    <xf numFmtId="164" fontId="18" fillId="2" borderId="25" xfId="5" applyFont="1" applyFill="1" applyBorder="1" applyAlignment="1">
      <alignment horizontal="center" vertical="center" wrapText="1"/>
    </xf>
    <xf numFmtId="164" fontId="18" fillId="2" borderId="26" xfId="5" applyFont="1" applyFill="1" applyBorder="1" applyAlignment="1">
      <alignment horizontal="center" vertical="center" wrapText="1"/>
    </xf>
    <xf numFmtId="0" fontId="4" fillId="2" borderId="25" xfId="0" applyFont="1" applyFill="1" applyBorder="1" applyAlignment="1">
      <alignment horizontal="center" wrapText="1"/>
    </xf>
    <xf numFmtId="0" fontId="4" fillId="2" borderId="26" xfId="0" applyFont="1" applyFill="1" applyBorder="1" applyAlignment="1">
      <alignment horizontal="center" wrapText="1"/>
    </xf>
    <xf numFmtId="164" fontId="4" fillId="2" borderId="25" xfId="5" applyFont="1" applyFill="1" applyBorder="1" applyAlignment="1">
      <alignment horizontal="center" wrapText="1"/>
    </xf>
    <xf numFmtId="164" fontId="4" fillId="2" borderId="26" xfId="5" applyFont="1" applyFill="1" applyBorder="1" applyAlignment="1">
      <alignment horizontal="center" wrapText="1"/>
    </xf>
  </cellXfs>
  <cellStyles count="15">
    <cellStyle name="Comma" xfId="2" builtinId="3"/>
    <cellStyle name="Comma 2" xfId="5" xr:uid="{00000000-0005-0000-0000-000001000000}"/>
    <cellStyle name="Comma 2 2" xfId="7" xr:uid="{00000000-0005-0000-0000-000002000000}"/>
    <cellStyle name="Comma 5 2 3" xfId="6" xr:uid="{00000000-0005-0000-0000-000003000000}"/>
    <cellStyle name="Hyperlink" xfId="1" builtinId="8"/>
    <cellStyle name="Normal" xfId="0" builtinId="0"/>
    <cellStyle name="Normal 2" xfId="4" xr:uid="{00000000-0005-0000-0000-000006000000}"/>
    <cellStyle name="Normal 2 3 2" xfId="13" xr:uid="{00000000-0005-0000-0000-000007000000}"/>
    <cellStyle name="Normal 2_D 5  Lease" xfId="8" xr:uid="{00000000-0005-0000-0000-000008000000}"/>
    <cellStyle name="Normal 2_Service Income" xfId="11" xr:uid="{00000000-0005-0000-0000-000009000000}"/>
    <cellStyle name="Normal 2_Service Income 2" xfId="14" xr:uid="{00000000-0005-0000-0000-00000A000000}"/>
    <cellStyle name="Normal 20" xfId="12" xr:uid="{00000000-0005-0000-0000-00000B000000}"/>
    <cellStyle name="Normal 9 2 2" xfId="9" xr:uid="{00000000-0005-0000-0000-00000C000000}"/>
    <cellStyle name="Normal_Sample Sales 2" xfId="10" xr:uid="{00000000-0005-0000-0000-00000D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276225</xdr:colOff>
      <xdr:row>1</xdr:row>
      <xdr:rowOff>171450</xdr:rowOff>
    </xdr:to>
    <xdr:pic>
      <xdr:nvPicPr>
        <xdr:cNvPr id="2" name="Picture 1" descr="https://static.wixstatic.com/media/25b7ff_c7955aecb4824bc6bffb6eda1a134afc~mv2.png/v1/fill/w_192,h_53,al_c,usm_0.66_1.00_0.01/25b7ff_c7955aecb4824bc6bffb6eda1a134afc~mv2.png">
          <a:extLst>
            <a:ext uri="{FF2B5EF4-FFF2-40B4-BE49-F238E27FC236}">
              <a16:creationId xmlns:a16="http://schemas.microsoft.com/office/drawing/2014/main" id="{797622FD-4B69-4781-8FA1-33A55251EF1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466975" cy="466725"/>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Amortization Schedule"/>
      <sheetName val="Sheet1"/>
    </sheetNames>
    <sheetDataSet>
      <sheetData sheetId="0">
        <row r="1">
          <cell r="A1" t="str">
            <v>Loan Amortization Schedule</v>
          </cell>
        </row>
        <row r="4">
          <cell r="B4" t="str">
            <v>Enter values</v>
          </cell>
          <cell r="H4" t="str">
            <v>Loan summary</v>
          </cell>
        </row>
        <row r="5">
          <cell r="C5" t="str">
            <v>Loan amount</v>
          </cell>
          <cell r="D5">
            <v>100000</v>
          </cell>
          <cell r="I5" t="str">
            <v>Scheduled payment</v>
          </cell>
          <cell r="J5">
            <v>2876.7965825806332</v>
          </cell>
        </row>
        <row r="6">
          <cell r="C6" t="str">
            <v>Annual interest rate</v>
          </cell>
          <cell r="D6">
            <v>0.24</v>
          </cell>
          <cell r="I6" t="str">
            <v>Scheduled number of payments</v>
          </cell>
          <cell r="J6">
            <v>60</v>
          </cell>
        </row>
        <row r="7">
          <cell r="C7" t="str">
            <v>Loan period in years</v>
          </cell>
          <cell r="D7">
            <v>5</v>
          </cell>
          <cell r="I7" t="str">
            <v>Actual number of payments</v>
          </cell>
          <cell r="J7">
            <v>46</v>
          </cell>
        </row>
        <row r="8">
          <cell r="C8" t="str">
            <v>Number of payments per year</v>
          </cell>
          <cell r="D8">
            <v>12</v>
          </cell>
          <cell r="I8" t="str">
            <v>Total early payments</v>
          </cell>
          <cell r="J8">
            <v>22500</v>
          </cell>
        </row>
        <row r="9">
          <cell r="C9" t="str">
            <v>Start date of loan</v>
          </cell>
          <cell r="D9">
            <v>41306</v>
          </cell>
          <cell r="I9" t="str">
            <v>Total interest</v>
          </cell>
          <cell r="J9">
            <v>52994.575654616274</v>
          </cell>
        </row>
        <row r="10">
          <cell r="C10" t="str">
            <v>Optional extra payments</v>
          </cell>
          <cell r="D10">
            <v>500</v>
          </cell>
        </row>
        <row r="12">
          <cell r="B12" t="str">
            <v>Lender name:</v>
          </cell>
        </row>
        <row r="16">
          <cell r="A16" t="str">
            <v>Pmt. No.</v>
          </cell>
          <cell r="B16" t="str">
            <v>Payment Date</v>
          </cell>
          <cell r="C16" t="str">
            <v>Beginning Balance</v>
          </cell>
          <cell r="D16" t="str">
            <v>Scheduled Payment</v>
          </cell>
          <cell r="E16" t="str">
            <v>Extra Payment</v>
          </cell>
          <cell r="F16" t="str">
            <v>Total Payment</v>
          </cell>
          <cell r="G16" t="str">
            <v>Principal</v>
          </cell>
          <cell r="H16" t="str">
            <v>Interest</v>
          </cell>
          <cell r="I16" t="str">
            <v>Ending Balance</v>
          </cell>
          <cell r="J16" t="str">
            <v>Cumulative Interest</v>
          </cell>
        </row>
        <row r="18">
          <cell r="A18">
            <v>1</v>
          </cell>
          <cell r="B18">
            <v>41334</v>
          </cell>
          <cell r="C18">
            <v>100000</v>
          </cell>
          <cell r="D18">
            <v>2876.7965825806332</v>
          </cell>
          <cell r="E18">
            <v>500</v>
          </cell>
          <cell r="F18">
            <v>3376.7965825806332</v>
          </cell>
          <cell r="G18">
            <v>1376.7965825806332</v>
          </cell>
          <cell r="H18">
            <v>2000</v>
          </cell>
          <cell r="I18">
            <v>98623.203417419369</v>
          </cell>
          <cell r="J18">
            <v>2000</v>
          </cell>
        </row>
        <row r="19">
          <cell r="A19">
            <v>2</v>
          </cell>
          <cell r="B19">
            <v>41365</v>
          </cell>
          <cell r="C19">
            <v>98623.203417419369</v>
          </cell>
          <cell r="D19">
            <v>2876.7965825806332</v>
          </cell>
          <cell r="E19">
            <v>500</v>
          </cell>
          <cell r="F19">
            <v>3376.7965825806332</v>
          </cell>
          <cell r="G19">
            <v>1404.3325142322458</v>
          </cell>
          <cell r="H19">
            <v>1972.4640683483874</v>
          </cell>
          <cell r="I19">
            <v>97218.870903187126</v>
          </cell>
          <cell r="J19">
            <v>3972.4640683483876</v>
          </cell>
        </row>
        <row r="20">
          <cell r="A20">
            <v>3</v>
          </cell>
          <cell r="B20">
            <v>41395</v>
          </cell>
          <cell r="C20">
            <v>97218.870903187126</v>
          </cell>
          <cell r="D20">
            <v>2876.7965825806332</v>
          </cell>
          <cell r="E20">
            <v>500</v>
          </cell>
          <cell r="F20">
            <v>3376.7965825806332</v>
          </cell>
          <cell r="G20">
            <v>1432.4191645168905</v>
          </cell>
          <cell r="H20">
            <v>1944.3774180637427</v>
          </cell>
          <cell r="I20">
            <v>95786.451738670235</v>
          </cell>
          <cell r="J20">
            <v>5916.8414864121305</v>
          </cell>
        </row>
        <row r="21">
          <cell r="A21">
            <v>4</v>
          </cell>
          <cell r="B21">
            <v>41426</v>
          </cell>
          <cell r="C21">
            <v>95786.451738670235</v>
          </cell>
          <cell r="D21">
            <v>2876.7965825806332</v>
          </cell>
          <cell r="E21">
            <v>500</v>
          </cell>
          <cell r="F21">
            <v>3376.7965825806332</v>
          </cell>
          <cell r="G21">
            <v>1461.0675478072287</v>
          </cell>
          <cell r="H21">
            <v>1915.7290347734045</v>
          </cell>
          <cell r="I21">
            <v>94325.384190863013</v>
          </cell>
          <cell r="J21">
            <v>7832.5705211855347</v>
          </cell>
        </row>
        <row r="22">
          <cell r="A22">
            <v>5</v>
          </cell>
          <cell r="B22">
            <v>41456</v>
          </cell>
          <cell r="C22">
            <v>94325.384190863013</v>
          </cell>
          <cell r="D22">
            <v>2876.7965825806332</v>
          </cell>
          <cell r="E22">
            <v>500</v>
          </cell>
          <cell r="F22">
            <v>3376.7965825806332</v>
          </cell>
          <cell r="G22">
            <v>1490.288898763373</v>
          </cell>
          <cell r="H22">
            <v>1886.5076838172602</v>
          </cell>
          <cell r="I22">
            <v>92835.095292099635</v>
          </cell>
          <cell r="J22">
            <v>9719.0782050027956</v>
          </cell>
        </row>
        <row r="23">
          <cell r="A23">
            <v>6</v>
          </cell>
          <cell r="B23">
            <v>41487</v>
          </cell>
          <cell r="C23">
            <v>92835.095292099635</v>
          </cell>
          <cell r="D23">
            <v>2876.7965825806332</v>
          </cell>
          <cell r="E23">
            <v>500</v>
          </cell>
          <cell r="F23">
            <v>3376.7965825806332</v>
          </cell>
          <cell r="G23">
            <v>1520.0946767386406</v>
          </cell>
          <cell r="H23">
            <v>1856.7019058419926</v>
          </cell>
          <cell r="I23">
            <v>91315.000615361001</v>
          </cell>
          <cell r="J23">
            <v>11575.780110844787</v>
          </cell>
        </row>
        <row r="24">
          <cell r="A24">
            <v>7</v>
          </cell>
          <cell r="B24">
            <v>41518</v>
          </cell>
          <cell r="C24">
            <v>91315.000615361001</v>
          </cell>
          <cell r="D24">
            <v>2876.7965825806332</v>
          </cell>
          <cell r="E24">
            <v>500</v>
          </cell>
          <cell r="F24">
            <v>3376.7965825806332</v>
          </cell>
          <cell r="G24">
            <v>1550.4965702734132</v>
          </cell>
          <cell r="H24">
            <v>1826.30001230722</v>
          </cell>
          <cell r="I24">
            <v>89764.504045087582</v>
          </cell>
          <cell r="J24">
            <v>13402.080123152007</v>
          </cell>
        </row>
        <row r="25">
          <cell r="A25">
            <v>8</v>
          </cell>
          <cell r="B25">
            <v>41548</v>
          </cell>
          <cell r="C25">
            <v>89764.504045087582</v>
          </cell>
          <cell r="D25">
            <v>2876.7965825806332</v>
          </cell>
          <cell r="E25">
            <v>500</v>
          </cell>
          <cell r="F25">
            <v>3376.7965825806332</v>
          </cell>
          <cell r="G25">
            <v>1581.5065016788815</v>
          </cell>
          <cell r="H25">
            <v>1795.2900809017517</v>
          </cell>
          <cell r="I25">
            <v>88182.997543408695</v>
          </cell>
          <cell r="J25">
            <v>15197.370204053759</v>
          </cell>
        </row>
        <row r="26">
          <cell r="A26">
            <v>9</v>
          </cell>
          <cell r="B26">
            <v>41579</v>
          </cell>
          <cell r="C26">
            <v>88182.997543408695</v>
          </cell>
          <cell r="D26">
            <v>2876.7965825806332</v>
          </cell>
          <cell r="E26">
            <v>500</v>
          </cell>
          <cell r="F26">
            <v>3376.7965825806332</v>
          </cell>
          <cell r="G26">
            <v>1613.1366317124593</v>
          </cell>
          <cell r="H26">
            <v>1763.6599508681738</v>
          </cell>
          <cell r="I26">
            <v>86569.860911696233</v>
          </cell>
          <cell r="J26">
            <v>16961.030154921933</v>
          </cell>
        </row>
        <row r="27">
          <cell r="A27">
            <v>10</v>
          </cell>
          <cell r="B27">
            <v>41609</v>
          </cell>
          <cell r="C27">
            <v>86569.860911696233</v>
          </cell>
          <cell r="D27">
            <v>2876.7965825806332</v>
          </cell>
          <cell r="E27">
            <v>500</v>
          </cell>
          <cell r="F27">
            <v>3376.7965825806332</v>
          </cell>
          <cell r="G27">
            <v>1645.3993643467086</v>
          </cell>
          <cell r="H27">
            <v>1731.3972182339246</v>
          </cell>
          <cell r="I27">
            <v>84924.461547349521</v>
          </cell>
          <cell r="J27">
            <v>18692.427373155857</v>
          </cell>
        </row>
        <row r="28">
          <cell r="A28">
            <v>11</v>
          </cell>
          <cell r="B28">
            <v>41640</v>
          </cell>
          <cell r="C28">
            <v>84924.461547349521</v>
          </cell>
          <cell r="D28">
            <v>2876.7965825806332</v>
          </cell>
          <cell r="E28">
            <v>500</v>
          </cell>
          <cell r="F28">
            <v>3376.7965825806332</v>
          </cell>
          <cell r="G28">
            <v>1678.3073516336428</v>
          </cell>
          <cell r="H28">
            <v>1698.4892309469903</v>
          </cell>
          <cell r="I28">
            <v>83246.154195715877</v>
          </cell>
          <cell r="J28">
            <v>20390.916604102847</v>
          </cell>
        </row>
        <row r="29">
          <cell r="A29">
            <v>12</v>
          </cell>
          <cell r="B29">
            <v>41671</v>
          </cell>
          <cell r="C29">
            <v>83246.154195715877</v>
          </cell>
          <cell r="D29">
            <v>2876.7965825806332</v>
          </cell>
          <cell r="E29">
            <v>500</v>
          </cell>
          <cell r="F29">
            <v>3376.7965825806332</v>
          </cell>
          <cell r="G29">
            <v>1711.8734986663158</v>
          </cell>
          <cell r="H29">
            <v>1664.9230839143174</v>
          </cell>
          <cell r="I29">
            <v>81534.280697049559</v>
          </cell>
          <cell r="J29">
            <v>22055.839688017164</v>
          </cell>
        </row>
        <row r="30">
          <cell r="A30">
            <v>13</v>
          </cell>
          <cell r="B30">
            <v>41699</v>
          </cell>
          <cell r="C30">
            <v>81534.280697049559</v>
          </cell>
          <cell r="D30">
            <v>2876.7965825806332</v>
          </cell>
          <cell r="E30">
            <v>500</v>
          </cell>
          <cell r="F30">
            <v>3376.7965825806332</v>
          </cell>
          <cell r="G30">
            <v>1746.1109686396421</v>
          </cell>
          <cell r="H30">
            <v>1630.6856139409911</v>
          </cell>
          <cell r="I30">
            <v>79788.169728409921</v>
          </cell>
          <cell r="J30">
            <v>23686.525301958154</v>
          </cell>
        </row>
        <row r="31">
          <cell r="A31">
            <v>14</v>
          </cell>
          <cell r="B31">
            <v>41730</v>
          </cell>
          <cell r="C31">
            <v>79788.169728409921</v>
          </cell>
          <cell r="D31">
            <v>2876.7965825806332</v>
          </cell>
          <cell r="E31">
            <v>500</v>
          </cell>
          <cell r="F31">
            <v>3376.7965825806332</v>
          </cell>
          <cell r="G31">
            <v>1781.0331880124349</v>
          </cell>
          <cell r="H31">
            <v>1595.7633945681982</v>
          </cell>
          <cell r="I31">
            <v>78007.136540397492</v>
          </cell>
          <cell r="J31">
            <v>25282.288696526353</v>
          </cell>
        </row>
        <row r="32">
          <cell r="A32">
            <v>15</v>
          </cell>
          <cell r="B32">
            <v>41760</v>
          </cell>
          <cell r="C32">
            <v>78007.136540397492</v>
          </cell>
          <cell r="D32">
            <v>2876.7965825806332</v>
          </cell>
          <cell r="E32">
            <v>500</v>
          </cell>
          <cell r="F32">
            <v>3376.7965825806332</v>
          </cell>
          <cell r="G32">
            <v>1816.6538517726833</v>
          </cell>
          <cell r="H32">
            <v>1560.1427308079499</v>
          </cell>
          <cell r="I32">
            <v>76190.482688624805</v>
          </cell>
          <cell r="J32">
            <v>26842.431427334304</v>
          </cell>
        </row>
        <row r="33">
          <cell r="A33">
            <v>16</v>
          </cell>
          <cell r="B33">
            <v>41791</v>
          </cell>
          <cell r="C33">
            <v>76190.482688624805</v>
          </cell>
          <cell r="D33">
            <v>2876.7965825806332</v>
          </cell>
          <cell r="E33">
            <v>500</v>
          </cell>
          <cell r="F33">
            <v>3376.7965825806332</v>
          </cell>
          <cell r="G33">
            <v>1852.9869288081372</v>
          </cell>
          <cell r="H33">
            <v>1523.8096537724959</v>
          </cell>
          <cell r="I33">
            <v>74337.495759816666</v>
          </cell>
          <cell r="J33">
            <v>28366.2410811068</v>
          </cell>
        </row>
        <row r="34">
          <cell r="A34">
            <v>17</v>
          </cell>
          <cell r="B34">
            <v>41821</v>
          </cell>
          <cell r="C34">
            <v>74337.495759816666</v>
          </cell>
          <cell r="D34">
            <v>2876.7965825806332</v>
          </cell>
          <cell r="E34">
            <v>500</v>
          </cell>
          <cell r="F34">
            <v>3376.7965825806332</v>
          </cell>
          <cell r="G34">
            <v>1890.0466673843</v>
          </cell>
          <cell r="H34">
            <v>1486.7499151963332</v>
          </cell>
          <cell r="I34">
            <v>72447.449092432362</v>
          </cell>
          <cell r="J34">
            <v>29852.990996303135</v>
          </cell>
        </row>
        <row r="35">
          <cell r="A35">
            <v>18</v>
          </cell>
          <cell r="B35">
            <v>41852</v>
          </cell>
          <cell r="C35">
            <v>72447.449092432362</v>
          </cell>
          <cell r="D35">
            <v>2876.7965825806332</v>
          </cell>
          <cell r="E35">
            <v>500</v>
          </cell>
          <cell r="F35">
            <v>3376.7965825806332</v>
          </cell>
          <cell r="G35">
            <v>1927.8476007319859</v>
          </cell>
          <cell r="H35">
            <v>1448.9489818486472</v>
          </cell>
          <cell r="I35">
            <v>70519.601491700378</v>
          </cell>
          <cell r="J35">
            <v>31301.939978151782</v>
          </cell>
        </row>
        <row r="36">
          <cell r="A36">
            <v>19</v>
          </cell>
          <cell r="B36">
            <v>41883</v>
          </cell>
          <cell r="C36">
            <v>70519.601491700378</v>
          </cell>
          <cell r="D36">
            <v>2876.7965825806332</v>
          </cell>
          <cell r="E36">
            <v>500</v>
          </cell>
          <cell r="F36">
            <v>3376.7965825806332</v>
          </cell>
          <cell r="G36">
            <v>1966.4045527466258</v>
          </cell>
          <cell r="H36">
            <v>1410.3920298340074</v>
          </cell>
          <cell r="I36">
            <v>68553.196938953755</v>
          </cell>
          <cell r="J36">
            <v>32712.332007985791</v>
          </cell>
        </row>
        <row r="37">
          <cell r="A37">
            <v>20</v>
          </cell>
          <cell r="B37">
            <v>41913</v>
          </cell>
          <cell r="C37">
            <v>68553.196938953755</v>
          </cell>
          <cell r="D37">
            <v>2876.7965825806332</v>
          </cell>
          <cell r="E37">
            <v>500</v>
          </cell>
          <cell r="F37">
            <v>3376.7965825806332</v>
          </cell>
          <cell r="G37">
            <v>2005.7326438015582</v>
          </cell>
          <cell r="H37">
            <v>1371.063938779075</v>
          </cell>
          <cell r="I37">
            <v>66547.464295152196</v>
          </cell>
          <cell r="J37">
            <v>34083.395946764867</v>
          </cell>
        </row>
        <row r="38">
          <cell r="A38">
            <v>21</v>
          </cell>
          <cell r="B38">
            <v>41944</v>
          </cell>
          <cell r="C38">
            <v>66547.464295152196</v>
          </cell>
          <cell r="D38">
            <v>2876.7965825806332</v>
          </cell>
          <cell r="E38">
            <v>500</v>
          </cell>
          <cell r="F38">
            <v>3376.7965825806332</v>
          </cell>
          <cell r="G38">
            <v>2045.8472966775892</v>
          </cell>
          <cell r="H38">
            <v>1330.949285903044</v>
          </cell>
          <cell r="I38">
            <v>64501.616998474608</v>
          </cell>
          <cell r="J38">
            <v>35414.345232667911</v>
          </cell>
        </row>
        <row r="39">
          <cell r="A39">
            <v>22</v>
          </cell>
          <cell r="B39">
            <v>41974</v>
          </cell>
          <cell r="C39">
            <v>64501.616998474608</v>
          </cell>
          <cell r="D39">
            <v>2876.7965825806332</v>
          </cell>
          <cell r="E39">
            <v>500</v>
          </cell>
          <cell r="F39">
            <v>3376.7965825806332</v>
          </cell>
          <cell r="G39">
            <v>2086.7642426111411</v>
          </cell>
          <cell r="H39">
            <v>1290.0323399694921</v>
          </cell>
          <cell r="I39">
            <v>62414.852755863467</v>
          </cell>
          <cell r="J39">
            <v>36704.377572637401</v>
          </cell>
        </row>
        <row r="40">
          <cell r="A40">
            <v>23</v>
          </cell>
          <cell r="B40">
            <v>42005</v>
          </cell>
          <cell r="C40">
            <v>62414.852755863467</v>
          </cell>
          <cell r="D40">
            <v>2876.7965825806332</v>
          </cell>
          <cell r="E40">
            <v>500</v>
          </cell>
          <cell r="F40">
            <v>3376.7965825806332</v>
          </cell>
          <cell r="G40">
            <v>2128.4995274633638</v>
          </cell>
          <cell r="H40">
            <v>1248.2970551172693</v>
          </cell>
          <cell r="I40">
            <v>60286.353228400105</v>
          </cell>
          <cell r="J40">
            <v>37952.67462775467</v>
          </cell>
        </row>
        <row r="41">
          <cell r="A41">
            <v>24</v>
          </cell>
          <cell r="B41">
            <v>42036</v>
          </cell>
          <cell r="C41">
            <v>60286.353228400105</v>
          </cell>
          <cell r="D41">
            <v>2876.7965825806332</v>
          </cell>
          <cell r="E41">
            <v>500</v>
          </cell>
          <cell r="F41">
            <v>3376.7965825806332</v>
          </cell>
          <cell r="G41">
            <v>2171.0695180126313</v>
          </cell>
          <cell r="H41">
            <v>1205.7270645680021</v>
          </cell>
          <cell r="I41">
            <v>58115.283710387477</v>
          </cell>
          <cell r="J41">
            <v>39158.401692322674</v>
          </cell>
        </row>
        <row r="42">
          <cell r="A42">
            <v>25</v>
          </cell>
          <cell r="B42">
            <v>42064</v>
          </cell>
          <cell r="C42">
            <v>58115.283710387477</v>
          </cell>
          <cell r="D42">
            <v>2876.7965825806332</v>
          </cell>
          <cell r="E42">
            <v>500</v>
          </cell>
          <cell r="F42">
            <v>3376.7965825806332</v>
          </cell>
          <cell r="G42">
            <v>2214.4909083728835</v>
          </cell>
          <cell r="H42">
            <v>1162.3056742077495</v>
          </cell>
          <cell r="I42">
            <v>55900.792802014592</v>
          </cell>
          <cell r="J42">
            <v>40320.70736653042</v>
          </cell>
        </row>
        <row r="43">
          <cell r="A43">
            <v>26</v>
          </cell>
          <cell r="B43">
            <v>42095</v>
          </cell>
          <cell r="C43">
            <v>55900.792802014592</v>
          </cell>
          <cell r="D43">
            <v>2876.7965825806332</v>
          </cell>
          <cell r="E43">
            <v>500</v>
          </cell>
          <cell r="F43">
            <v>3376.7965825806332</v>
          </cell>
          <cell r="G43">
            <v>2258.7807265403417</v>
          </cell>
          <cell r="H43">
            <v>1118.0158560402917</v>
          </cell>
          <cell r="I43">
            <v>53642.012075474253</v>
          </cell>
          <cell r="J43">
            <v>41438.723222570712</v>
          </cell>
        </row>
        <row r="44">
          <cell r="A44">
            <v>27</v>
          </cell>
          <cell r="B44">
            <v>42125</v>
          </cell>
          <cell r="C44">
            <v>53642.012075474253</v>
          </cell>
          <cell r="D44">
            <v>2876.7965825806332</v>
          </cell>
          <cell r="E44">
            <v>500</v>
          </cell>
          <cell r="F44">
            <v>3376.7965825806332</v>
          </cell>
          <cell r="G44">
            <v>2303.956341071148</v>
          </cell>
          <cell r="H44">
            <v>1072.8402415094849</v>
          </cell>
          <cell r="I44">
            <v>51338.055734403104</v>
          </cell>
          <cell r="J44">
            <v>42511.563464080195</v>
          </cell>
        </row>
        <row r="45">
          <cell r="A45">
            <v>28</v>
          </cell>
          <cell r="B45">
            <v>42156</v>
          </cell>
          <cell r="C45">
            <v>51338.055734403104</v>
          </cell>
          <cell r="D45">
            <v>2876.7965825806332</v>
          </cell>
          <cell r="E45">
            <v>500</v>
          </cell>
          <cell r="F45">
            <v>3376.7965825806332</v>
          </cell>
          <cell r="G45">
            <v>2350.0354678925714</v>
          </cell>
          <cell r="H45">
            <v>1026.761114688062</v>
          </cell>
          <cell r="I45">
            <v>48988.020266510532</v>
          </cell>
          <cell r="J45">
            <v>43538.324578768254</v>
          </cell>
        </row>
        <row r="46">
          <cell r="A46">
            <v>29</v>
          </cell>
          <cell r="B46">
            <v>42186</v>
          </cell>
          <cell r="C46">
            <v>48988.020266510532</v>
          </cell>
          <cell r="D46">
            <v>2876.7965825806332</v>
          </cell>
          <cell r="E46">
            <v>500</v>
          </cell>
          <cell r="F46">
            <v>3376.7965825806332</v>
          </cell>
          <cell r="G46">
            <v>2397.0361772504225</v>
          </cell>
          <cell r="H46">
            <v>979.76040533021057</v>
          </cell>
          <cell r="I46">
            <v>46590.984089260106</v>
          </cell>
          <cell r="J46">
            <v>44518.084984098467</v>
          </cell>
        </row>
        <row r="47">
          <cell r="A47">
            <v>30</v>
          </cell>
          <cell r="B47">
            <v>42217</v>
          </cell>
          <cell r="C47">
            <v>46590.984089260106</v>
          </cell>
          <cell r="D47">
            <v>2876.7965825806332</v>
          </cell>
          <cell r="E47">
            <v>500</v>
          </cell>
          <cell r="F47">
            <v>3376.7965825806332</v>
          </cell>
          <cell r="G47">
            <v>2444.976900795431</v>
          </cell>
          <cell r="H47">
            <v>931.81968178520208</v>
          </cell>
          <cell r="I47">
            <v>44146.007188464675</v>
          </cell>
          <cell r="J47">
            <v>45449.904665883667</v>
          </cell>
        </row>
        <row r="48">
          <cell r="A48">
            <v>31</v>
          </cell>
          <cell r="B48">
            <v>42248</v>
          </cell>
          <cell r="C48">
            <v>44146.007188464675</v>
          </cell>
          <cell r="D48">
            <v>2876.7965825806332</v>
          </cell>
          <cell r="E48">
            <v>500</v>
          </cell>
          <cell r="F48">
            <v>3376.7965825806332</v>
          </cell>
          <cell r="G48">
            <v>2493.8764388113395</v>
          </cell>
          <cell r="H48">
            <v>882.92014376929353</v>
          </cell>
          <cell r="I48">
            <v>41652.130749653334</v>
          </cell>
          <cell r="J48">
            <v>46332.824809652957</v>
          </cell>
        </row>
        <row r="49">
          <cell r="A49">
            <v>32</v>
          </cell>
          <cell r="B49">
            <v>42278</v>
          </cell>
          <cell r="C49">
            <v>41652.130749653334</v>
          </cell>
          <cell r="D49">
            <v>2876.7965825806332</v>
          </cell>
          <cell r="E49">
            <v>500</v>
          </cell>
          <cell r="F49">
            <v>3376.7965825806332</v>
          </cell>
          <cell r="G49">
            <v>2543.7539675875664</v>
          </cell>
          <cell r="H49">
            <v>833.04261499306665</v>
          </cell>
          <cell r="I49">
            <v>39108.376782065767</v>
          </cell>
          <cell r="J49">
            <v>47165.867424646021</v>
          </cell>
        </row>
        <row r="50">
          <cell r="A50">
            <v>33</v>
          </cell>
          <cell r="B50">
            <v>42309</v>
          </cell>
          <cell r="C50">
            <v>39108.376782065767</v>
          </cell>
          <cell r="D50">
            <v>2876.7965825806332</v>
          </cell>
          <cell r="E50">
            <v>500</v>
          </cell>
          <cell r="F50">
            <v>3376.7965825806332</v>
          </cell>
          <cell r="G50">
            <v>2594.629046939318</v>
          </cell>
          <cell r="H50">
            <v>782.16753564131534</v>
          </cell>
          <cell r="I50">
            <v>36513.747735126446</v>
          </cell>
          <cell r="J50">
            <v>47948.034960287339</v>
          </cell>
        </row>
        <row r="51">
          <cell r="A51">
            <v>34</v>
          </cell>
          <cell r="B51">
            <v>42339</v>
          </cell>
          <cell r="C51">
            <v>36513.747735126446</v>
          </cell>
          <cell r="D51">
            <v>2876.7965825806332</v>
          </cell>
          <cell r="E51">
            <v>500</v>
          </cell>
          <cell r="F51">
            <v>3376.7965825806332</v>
          </cell>
          <cell r="G51">
            <v>2646.5216278781045</v>
          </cell>
          <cell r="H51">
            <v>730.27495470252882</v>
          </cell>
          <cell r="I51">
            <v>33867.226107248338</v>
          </cell>
          <cell r="J51">
            <v>48678.30991498987</v>
          </cell>
        </row>
        <row r="52">
          <cell r="A52">
            <v>35</v>
          </cell>
          <cell r="B52">
            <v>42370</v>
          </cell>
          <cell r="C52">
            <v>33867.226107248338</v>
          </cell>
          <cell r="D52">
            <v>2876.7965825806332</v>
          </cell>
          <cell r="E52">
            <v>500</v>
          </cell>
          <cell r="F52">
            <v>3376.7965825806332</v>
          </cell>
          <cell r="G52">
            <v>2699.4520604356667</v>
          </cell>
          <cell r="H52">
            <v>677.34452214496673</v>
          </cell>
          <cell r="I52">
            <v>31167.774046812672</v>
          </cell>
          <cell r="J52">
            <v>49355.654437134835</v>
          </cell>
        </row>
        <row r="53">
          <cell r="A53">
            <v>36</v>
          </cell>
          <cell r="B53">
            <v>42401</v>
          </cell>
          <cell r="C53">
            <v>31167.774046812672</v>
          </cell>
          <cell r="D53">
            <v>2876.7965825806332</v>
          </cell>
          <cell r="E53">
            <v>500</v>
          </cell>
          <cell r="F53">
            <v>3376.7965825806332</v>
          </cell>
          <cell r="G53">
            <v>2753.4411016443796</v>
          </cell>
          <cell r="H53">
            <v>623.35548093625346</v>
          </cell>
          <cell r="I53">
            <v>28414.332945168291</v>
          </cell>
          <cell r="J53">
            <v>49979.009918071089</v>
          </cell>
        </row>
        <row r="54">
          <cell r="A54">
            <v>37</v>
          </cell>
          <cell r="B54">
            <v>42430</v>
          </cell>
          <cell r="C54">
            <v>28414.332945168291</v>
          </cell>
          <cell r="D54">
            <v>2876.7965825806332</v>
          </cell>
          <cell r="E54">
            <v>500</v>
          </cell>
          <cell r="F54">
            <v>3376.7965825806332</v>
          </cell>
          <cell r="G54">
            <v>2808.5099236772676</v>
          </cell>
          <cell r="H54">
            <v>568.28665890336583</v>
          </cell>
          <cell r="I54">
            <v>25605.823021491022</v>
          </cell>
          <cell r="J54">
            <v>50547.296576974455</v>
          </cell>
        </row>
        <row r="55">
          <cell r="A55">
            <v>38</v>
          </cell>
          <cell r="B55">
            <v>42461</v>
          </cell>
          <cell r="C55">
            <v>25605.823021491022</v>
          </cell>
          <cell r="D55">
            <v>2876.7965825806332</v>
          </cell>
          <cell r="E55">
            <v>500</v>
          </cell>
          <cell r="F55">
            <v>3376.7965825806332</v>
          </cell>
          <cell r="G55">
            <v>2864.6801221508126</v>
          </cell>
          <cell r="H55">
            <v>512.11646042982045</v>
          </cell>
          <cell r="I55">
            <v>22741.142899340208</v>
          </cell>
          <cell r="J55">
            <v>51059.413037404272</v>
          </cell>
        </row>
        <row r="56">
          <cell r="A56">
            <v>39</v>
          </cell>
          <cell r="B56">
            <v>42491</v>
          </cell>
          <cell r="C56">
            <v>22741.142899340208</v>
          </cell>
          <cell r="D56">
            <v>2876.7965825806332</v>
          </cell>
          <cell r="E56">
            <v>500</v>
          </cell>
          <cell r="F56">
            <v>3376.7965825806332</v>
          </cell>
          <cell r="G56">
            <v>2921.973724593829</v>
          </cell>
          <cell r="H56">
            <v>454.82285798680414</v>
          </cell>
          <cell r="I56">
            <v>19819.169174746377</v>
          </cell>
          <cell r="J56">
            <v>51514.235895391073</v>
          </cell>
        </row>
        <row r="57">
          <cell r="A57">
            <v>40</v>
          </cell>
          <cell r="B57">
            <v>42522</v>
          </cell>
          <cell r="C57">
            <v>19819.169174746377</v>
          </cell>
          <cell r="D57">
            <v>2876.7965825806332</v>
          </cell>
          <cell r="E57">
            <v>500</v>
          </cell>
          <cell r="F57">
            <v>3376.7965825806332</v>
          </cell>
          <cell r="G57">
            <v>2980.4131990857059</v>
          </cell>
          <cell r="H57">
            <v>396.38338349492756</v>
          </cell>
          <cell r="I57">
            <v>16838.755975660672</v>
          </cell>
          <cell r="J57">
            <v>51910.619278885999</v>
          </cell>
        </row>
        <row r="58">
          <cell r="A58">
            <v>41</v>
          </cell>
          <cell r="B58">
            <v>42552</v>
          </cell>
          <cell r="C58">
            <v>16838.755975660672</v>
          </cell>
          <cell r="D58">
            <v>2876.7965825806332</v>
          </cell>
          <cell r="E58">
            <v>500</v>
          </cell>
          <cell r="F58">
            <v>3376.7965825806332</v>
          </cell>
          <cell r="G58">
            <v>3040.02146306742</v>
          </cell>
          <cell r="H58">
            <v>336.77511951321338</v>
          </cell>
          <cell r="I58">
            <v>13798.734512593252</v>
          </cell>
          <cell r="J58">
            <v>52247.394398399214</v>
          </cell>
        </row>
        <row r="59">
          <cell r="A59">
            <v>42</v>
          </cell>
          <cell r="B59">
            <v>42583</v>
          </cell>
          <cell r="C59">
            <v>13798.734512593252</v>
          </cell>
          <cell r="D59">
            <v>2876.7965825806332</v>
          </cell>
          <cell r="E59">
            <v>500</v>
          </cell>
          <cell r="F59">
            <v>3376.7965825806332</v>
          </cell>
          <cell r="G59">
            <v>3100.8218923287682</v>
          </cell>
          <cell r="H59">
            <v>275.97469025186501</v>
          </cell>
          <cell r="I59">
            <v>10697.912620264484</v>
          </cell>
          <cell r="J59">
            <v>52523.369088651081</v>
          </cell>
        </row>
        <row r="60">
          <cell r="A60">
            <v>43</v>
          </cell>
          <cell r="B60">
            <v>42614</v>
          </cell>
          <cell r="C60">
            <v>10697.912620264484</v>
          </cell>
          <cell r="D60">
            <v>2876.7965825806332</v>
          </cell>
          <cell r="E60">
            <v>500</v>
          </cell>
          <cell r="F60">
            <v>3376.7965825806332</v>
          </cell>
          <cell r="G60">
            <v>3162.8383301753433</v>
          </cell>
          <cell r="H60">
            <v>213.95825240528964</v>
          </cell>
          <cell r="I60">
            <v>7535.07429008914</v>
          </cell>
          <cell r="J60">
            <v>52737.327341056371</v>
          </cell>
        </row>
        <row r="61">
          <cell r="A61">
            <v>44</v>
          </cell>
          <cell r="B61">
            <v>42644</v>
          </cell>
          <cell r="C61">
            <v>7535.07429008914</v>
          </cell>
          <cell r="D61">
            <v>2876.7965825806332</v>
          </cell>
          <cell r="E61">
            <v>500</v>
          </cell>
          <cell r="F61">
            <v>3376.7965825806332</v>
          </cell>
          <cell r="G61">
            <v>3226.0950967788503</v>
          </cell>
          <cell r="H61">
            <v>150.70148580178281</v>
          </cell>
          <cell r="I61">
            <v>4308.9791933102897</v>
          </cell>
          <cell r="J61">
            <v>52888.02882685815</v>
          </cell>
        </row>
        <row r="62">
          <cell r="A62">
            <v>45</v>
          </cell>
          <cell r="B62">
            <v>42675</v>
          </cell>
          <cell r="C62">
            <v>4308.9791933102897</v>
          </cell>
          <cell r="D62">
            <v>2876.7965825806332</v>
          </cell>
          <cell r="E62">
            <v>500</v>
          </cell>
          <cell r="F62">
            <v>3376.7965825806332</v>
          </cell>
          <cell r="G62">
            <v>3290.6169987144276</v>
          </cell>
          <cell r="H62">
            <v>86.179583866205789</v>
          </cell>
          <cell r="I62">
            <v>1018.3621945958621</v>
          </cell>
          <cell r="J62">
            <v>52974.208410724357</v>
          </cell>
        </row>
        <row r="63">
          <cell r="A63">
            <v>46</v>
          </cell>
          <cell r="B63">
            <v>42705</v>
          </cell>
          <cell r="C63">
            <v>1018.3621945958621</v>
          </cell>
          <cell r="D63">
            <v>2876.7965825806332</v>
          </cell>
          <cell r="E63">
            <v>0</v>
          </cell>
          <cell r="F63">
            <v>1018.3621945958621</v>
          </cell>
          <cell r="G63">
            <v>997.99495070394482</v>
          </cell>
          <cell r="H63">
            <v>20.367243891917241</v>
          </cell>
          <cell r="I63">
            <v>0</v>
          </cell>
          <cell r="J63">
            <v>52994.575654616274</v>
          </cell>
        </row>
        <row r="64">
          <cell r="A64">
            <v>47</v>
          </cell>
          <cell r="B64">
            <v>42736</v>
          </cell>
          <cell r="C64">
            <v>0</v>
          </cell>
          <cell r="D64">
            <v>2876.7965825806332</v>
          </cell>
          <cell r="E64">
            <v>0</v>
          </cell>
          <cell r="F64">
            <v>0</v>
          </cell>
          <cell r="G64">
            <v>0</v>
          </cell>
          <cell r="H64">
            <v>0</v>
          </cell>
          <cell r="I64">
            <v>0</v>
          </cell>
          <cell r="J64">
            <v>52994.575654616274</v>
          </cell>
        </row>
        <row r="65">
          <cell r="A65">
            <v>48</v>
          </cell>
          <cell r="B65">
            <v>42767</v>
          </cell>
          <cell r="C65">
            <v>0</v>
          </cell>
          <cell r="D65">
            <v>2876.7965825806332</v>
          </cell>
          <cell r="E65">
            <v>0</v>
          </cell>
          <cell r="F65">
            <v>0</v>
          </cell>
          <cell r="G65">
            <v>0</v>
          </cell>
          <cell r="H65">
            <v>0</v>
          </cell>
          <cell r="I65">
            <v>0</v>
          </cell>
          <cell r="J65">
            <v>52994.575654616274</v>
          </cell>
        </row>
        <row r="66">
          <cell r="A66">
            <v>49</v>
          </cell>
          <cell r="B66">
            <v>42795</v>
          </cell>
          <cell r="C66">
            <v>0</v>
          </cell>
          <cell r="D66">
            <v>2876.7965825806332</v>
          </cell>
          <cell r="E66">
            <v>0</v>
          </cell>
          <cell r="F66">
            <v>0</v>
          </cell>
          <cell r="G66">
            <v>0</v>
          </cell>
          <cell r="H66">
            <v>0</v>
          </cell>
          <cell r="I66">
            <v>0</v>
          </cell>
          <cell r="J66">
            <v>52994.575654616274</v>
          </cell>
        </row>
        <row r="67">
          <cell r="A67">
            <v>50</v>
          </cell>
          <cell r="B67">
            <v>42826</v>
          </cell>
          <cell r="C67">
            <v>0</v>
          </cell>
          <cell r="D67">
            <v>2876.7965825806332</v>
          </cell>
          <cell r="E67">
            <v>0</v>
          </cell>
          <cell r="F67">
            <v>0</v>
          </cell>
          <cell r="G67">
            <v>0</v>
          </cell>
          <cell r="H67">
            <v>0</v>
          </cell>
          <cell r="I67">
            <v>0</v>
          </cell>
          <cell r="J67">
            <v>52994.575654616274</v>
          </cell>
        </row>
        <row r="68">
          <cell r="A68">
            <v>51</v>
          </cell>
          <cell r="B68">
            <v>42856</v>
          </cell>
          <cell r="C68">
            <v>0</v>
          </cell>
          <cell r="D68">
            <v>2876.7965825806332</v>
          </cell>
          <cell r="E68">
            <v>0</v>
          </cell>
          <cell r="F68">
            <v>0</v>
          </cell>
          <cell r="G68">
            <v>0</v>
          </cell>
          <cell r="H68">
            <v>0</v>
          </cell>
          <cell r="I68">
            <v>0</v>
          </cell>
          <cell r="J68">
            <v>52994.575654616274</v>
          </cell>
        </row>
        <row r="69">
          <cell r="A69">
            <v>52</v>
          </cell>
          <cell r="B69">
            <v>42887</v>
          </cell>
          <cell r="C69">
            <v>0</v>
          </cell>
          <cell r="D69">
            <v>2876.7965825806332</v>
          </cell>
          <cell r="E69">
            <v>0</v>
          </cell>
          <cell r="F69">
            <v>0</v>
          </cell>
          <cell r="G69">
            <v>0</v>
          </cell>
          <cell r="H69">
            <v>0</v>
          </cell>
          <cell r="I69">
            <v>0</v>
          </cell>
          <cell r="J69">
            <v>52994.575654616274</v>
          </cell>
        </row>
        <row r="70">
          <cell r="A70">
            <v>53</v>
          </cell>
          <cell r="B70">
            <v>42917</v>
          </cell>
          <cell r="C70">
            <v>0</v>
          </cell>
          <cell r="D70">
            <v>2876.7965825806332</v>
          </cell>
          <cell r="E70">
            <v>0</v>
          </cell>
          <cell r="F70">
            <v>0</v>
          </cell>
          <cell r="G70">
            <v>0</v>
          </cell>
          <cell r="H70">
            <v>0</v>
          </cell>
          <cell r="I70">
            <v>0</v>
          </cell>
          <cell r="J70">
            <v>52994.575654616274</v>
          </cell>
        </row>
        <row r="71">
          <cell r="A71">
            <v>54</v>
          </cell>
          <cell r="B71">
            <v>42948</v>
          </cell>
          <cell r="C71">
            <v>0</v>
          </cell>
          <cell r="D71">
            <v>2876.7965825806332</v>
          </cell>
          <cell r="E71">
            <v>0</v>
          </cell>
          <cell r="F71">
            <v>0</v>
          </cell>
          <cell r="G71">
            <v>0</v>
          </cell>
          <cell r="H71">
            <v>0</v>
          </cell>
          <cell r="I71">
            <v>0</v>
          </cell>
          <cell r="J71">
            <v>52994.575654616274</v>
          </cell>
        </row>
        <row r="72">
          <cell r="A72">
            <v>55</v>
          </cell>
          <cell r="B72">
            <v>42979</v>
          </cell>
          <cell r="C72">
            <v>0</v>
          </cell>
          <cell r="D72">
            <v>2876.7965825806332</v>
          </cell>
          <cell r="E72">
            <v>0</v>
          </cell>
          <cell r="F72">
            <v>0</v>
          </cell>
          <cell r="G72">
            <v>0</v>
          </cell>
          <cell r="H72">
            <v>0</v>
          </cell>
          <cell r="I72">
            <v>0</v>
          </cell>
          <cell r="J72">
            <v>52994.575654616274</v>
          </cell>
        </row>
        <row r="73">
          <cell r="A73">
            <v>56</v>
          </cell>
          <cell r="B73">
            <v>43009</v>
          </cell>
          <cell r="C73">
            <v>0</v>
          </cell>
          <cell r="D73">
            <v>2876.7965825806332</v>
          </cell>
          <cell r="E73">
            <v>0</v>
          </cell>
          <cell r="F73">
            <v>0</v>
          </cell>
          <cell r="G73">
            <v>0</v>
          </cell>
          <cell r="H73">
            <v>0</v>
          </cell>
          <cell r="I73">
            <v>0</v>
          </cell>
          <cell r="J73">
            <v>52994.575654616274</v>
          </cell>
        </row>
        <row r="74">
          <cell r="A74">
            <v>57</v>
          </cell>
          <cell r="B74">
            <v>43040</v>
          </cell>
          <cell r="C74">
            <v>0</v>
          </cell>
          <cell r="D74">
            <v>2876.7965825806332</v>
          </cell>
          <cell r="E74">
            <v>0</v>
          </cell>
          <cell r="F74">
            <v>0</v>
          </cell>
          <cell r="G74">
            <v>0</v>
          </cell>
          <cell r="H74">
            <v>0</v>
          </cell>
          <cell r="I74">
            <v>0</v>
          </cell>
          <cell r="J74">
            <v>52994.575654616274</v>
          </cell>
        </row>
        <row r="75">
          <cell r="A75">
            <v>58</v>
          </cell>
          <cell r="B75">
            <v>43070</v>
          </cell>
          <cell r="C75">
            <v>0</v>
          </cell>
          <cell r="D75">
            <v>2876.7965825806332</v>
          </cell>
          <cell r="E75">
            <v>0</v>
          </cell>
          <cell r="F75">
            <v>0</v>
          </cell>
          <cell r="G75">
            <v>0</v>
          </cell>
          <cell r="H75">
            <v>0</v>
          </cell>
          <cell r="I75">
            <v>0</v>
          </cell>
          <cell r="J75">
            <v>52994.575654616274</v>
          </cell>
        </row>
        <row r="76">
          <cell r="A76">
            <v>59</v>
          </cell>
          <cell r="B76">
            <v>43101</v>
          </cell>
          <cell r="C76">
            <v>0</v>
          </cell>
          <cell r="D76">
            <v>2876.7965825806332</v>
          </cell>
          <cell r="E76">
            <v>0</v>
          </cell>
          <cell r="F76">
            <v>0</v>
          </cell>
          <cell r="G76">
            <v>0</v>
          </cell>
          <cell r="H76">
            <v>0</v>
          </cell>
          <cell r="I76">
            <v>0</v>
          </cell>
          <cell r="J76">
            <v>52994.575654616274</v>
          </cell>
        </row>
        <row r="77">
          <cell r="A77">
            <v>60</v>
          </cell>
          <cell r="B77">
            <v>43132</v>
          </cell>
          <cell r="C77">
            <v>0</v>
          </cell>
          <cell r="D77">
            <v>2876.7965825806332</v>
          </cell>
          <cell r="E77">
            <v>0</v>
          </cell>
          <cell r="F77">
            <v>0</v>
          </cell>
          <cell r="G77">
            <v>0</v>
          </cell>
          <cell r="H77">
            <v>0</v>
          </cell>
          <cell r="I77">
            <v>0</v>
          </cell>
          <cell r="J77">
            <v>52994.575654616274</v>
          </cell>
        </row>
        <row r="78">
          <cell r="A78">
            <v>61</v>
          </cell>
          <cell r="B78">
            <v>43160</v>
          </cell>
          <cell r="C78">
            <v>0</v>
          </cell>
          <cell r="D78">
            <v>2876.7965825806332</v>
          </cell>
          <cell r="E78">
            <v>0</v>
          </cell>
          <cell r="F78">
            <v>0</v>
          </cell>
          <cell r="G78">
            <v>0</v>
          </cell>
          <cell r="H78">
            <v>0</v>
          </cell>
          <cell r="I78">
            <v>0</v>
          </cell>
          <cell r="J78">
            <v>52994.575654616274</v>
          </cell>
        </row>
        <row r="79">
          <cell r="A79">
            <v>62</v>
          </cell>
          <cell r="B79">
            <v>43191</v>
          </cell>
          <cell r="C79">
            <v>0</v>
          </cell>
          <cell r="D79">
            <v>2876.7965825806332</v>
          </cell>
          <cell r="E79">
            <v>0</v>
          </cell>
          <cell r="F79">
            <v>0</v>
          </cell>
          <cell r="G79">
            <v>0</v>
          </cell>
          <cell r="H79">
            <v>0</v>
          </cell>
          <cell r="I79">
            <v>0</v>
          </cell>
          <cell r="J79">
            <v>52994.575654616274</v>
          </cell>
        </row>
        <row r="80">
          <cell r="A80">
            <v>63</v>
          </cell>
          <cell r="B80">
            <v>43221</v>
          </cell>
          <cell r="C80">
            <v>0</v>
          </cell>
          <cell r="D80">
            <v>2876.7965825806332</v>
          </cell>
          <cell r="E80">
            <v>0</v>
          </cell>
          <cell r="F80">
            <v>0</v>
          </cell>
          <cell r="G80">
            <v>0</v>
          </cell>
          <cell r="H80">
            <v>0</v>
          </cell>
          <cell r="I80">
            <v>0</v>
          </cell>
          <cell r="J80">
            <v>52994.575654616274</v>
          </cell>
        </row>
        <row r="81">
          <cell r="A81">
            <v>64</v>
          </cell>
          <cell r="B81">
            <v>43252</v>
          </cell>
          <cell r="C81">
            <v>0</v>
          </cell>
          <cell r="D81">
            <v>2876.7965825806332</v>
          </cell>
          <cell r="E81">
            <v>0</v>
          </cell>
          <cell r="F81">
            <v>0</v>
          </cell>
          <cell r="G81">
            <v>0</v>
          </cell>
          <cell r="H81">
            <v>0</v>
          </cell>
          <cell r="I81">
            <v>0</v>
          </cell>
          <cell r="J81">
            <v>52994.575654616274</v>
          </cell>
        </row>
        <row r="82">
          <cell r="A82">
            <v>65</v>
          </cell>
          <cell r="B82">
            <v>43282</v>
          </cell>
          <cell r="C82">
            <v>0</v>
          </cell>
          <cell r="D82">
            <v>2876.7965825806332</v>
          </cell>
          <cell r="E82">
            <v>0</v>
          </cell>
          <cell r="F82">
            <v>0</v>
          </cell>
          <cell r="G82">
            <v>0</v>
          </cell>
          <cell r="H82">
            <v>0</v>
          </cell>
          <cell r="I82">
            <v>0</v>
          </cell>
          <cell r="J82">
            <v>52994.575654616274</v>
          </cell>
        </row>
        <row r="83">
          <cell r="A83">
            <v>66</v>
          </cell>
          <cell r="B83">
            <v>43313</v>
          </cell>
          <cell r="C83">
            <v>0</v>
          </cell>
          <cell r="D83">
            <v>2876.7965825806332</v>
          </cell>
          <cell r="E83">
            <v>0</v>
          </cell>
          <cell r="F83">
            <v>0</v>
          </cell>
          <cell r="G83">
            <v>0</v>
          </cell>
          <cell r="H83">
            <v>0</v>
          </cell>
          <cell r="I83">
            <v>0</v>
          </cell>
          <cell r="J83">
            <v>52994.575654616274</v>
          </cell>
        </row>
        <row r="84">
          <cell r="A84">
            <v>67</v>
          </cell>
          <cell r="B84">
            <v>43344</v>
          </cell>
          <cell r="C84">
            <v>0</v>
          </cell>
          <cell r="D84">
            <v>2876.7965825806332</v>
          </cell>
          <cell r="E84">
            <v>0</v>
          </cell>
          <cell r="F84">
            <v>0</v>
          </cell>
          <cell r="G84">
            <v>0</v>
          </cell>
          <cell r="H84">
            <v>0</v>
          </cell>
          <cell r="I84">
            <v>0</v>
          </cell>
          <cell r="J84">
            <v>52994.575654616274</v>
          </cell>
        </row>
        <row r="85">
          <cell r="A85">
            <v>68</v>
          </cell>
          <cell r="B85">
            <v>43374</v>
          </cell>
          <cell r="C85">
            <v>0</v>
          </cell>
          <cell r="D85">
            <v>2876.7965825806332</v>
          </cell>
          <cell r="E85">
            <v>0</v>
          </cell>
          <cell r="F85">
            <v>0</v>
          </cell>
          <cell r="G85">
            <v>0</v>
          </cell>
          <cell r="H85">
            <v>0</v>
          </cell>
          <cell r="I85">
            <v>0</v>
          </cell>
          <cell r="J85">
            <v>52994.575654616274</v>
          </cell>
        </row>
        <row r="86">
          <cell r="A86">
            <v>69</v>
          </cell>
          <cell r="B86">
            <v>43405</v>
          </cell>
          <cell r="C86">
            <v>0</v>
          </cell>
          <cell r="D86">
            <v>2876.7965825806332</v>
          </cell>
          <cell r="E86">
            <v>0</v>
          </cell>
          <cell r="F86">
            <v>0</v>
          </cell>
          <cell r="G86">
            <v>0</v>
          </cell>
          <cell r="H86">
            <v>0</v>
          </cell>
          <cell r="I86">
            <v>0</v>
          </cell>
          <cell r="J86">
            <v>52994.575654616274</v>
          </cell>
        </row>
        <row r="87">
          <cell r="A87">
            <v>70</v>
          </cell>
          <cell r="B87">
            <v>43435</v>
          </cell>
          <cell r="C87">
            <v>0</v>
          </cell>
          <cell r="D87">
            <v>2876.7965825806332</v>
          </cell>
          <cell r="E87">
            <v>0</v>
          </cell>
          <cell r="F87">
            <v>0</v>
          </cell>
          <cell r="G87">
            <v>0</v>
          </cell>
          <cell r="H87">
            <v>0</v>
          </cell>
          <cell r="I87">
            <v>0</v>
          </cell>
          <cell r="J87">
            <v>52994.575654616274</v>
          </cell>
        </row>
        <row r="88">
          <cell r="A88">
            <v>71</v>
          </cell>
          <cell r="B88">
            <v>43466</v>
          </cell>
          <cell r="C88">
            <v>0</v>
          </cell>
          <cell r="D88">
            <v>2876.7965825806332</v>
          </cell>
          <cell r="E88">
            <v>0</v>
          </cell>
          <cell r="F88">
            <v>0</v>
          </cell>
          <cell r="G88">
            <v>0</v>
          </cell>
          <cell r="H88">
            <v>0</v>
          </cell>
          <cell r="I88">
            <v>0</v>
          </cell>
          <cell r="J88">
            <v>52994.575654616274</v>
          </cell>
        </row>
        <row r="89">
          <cell r="A89">
            <v>72</v>
          </cell>
          <cell r="B89">
            <v>43497</v>
          </cell>
          <cell r="C89">
            <v>0</v>
          </cell>
          <cell r="D89">
            <v>2876.7965825806332</v>
          </cell>
          <cell r="E89">
            <v>0</v>
          </cell>
          <cell r="F89">
            <v>0</v>
          </cell>
          <cell r="G89">
            <v>0</v>
          </cell>
          <cell r="H89">
            <v>0</v>
          </cell>
          <cell r="I89">
            <v>0</v>
          </cell>
          <cell r="J89">
            <v>52994.575654616274</v>
          </cell>
        </row>
        <row r="90">
          <cell r="A90">
            <v>73</v>
          </cell>
          <cell r="B90">
            <v>43525</v>
          </cell>
          <cell r="C90">
            <v>0</v>
          </cell>
          <cell r="D90">
            <v>2876.7965825806332</v>
          </cell>
          <cell r="E90">
            <v>0</v>
          </cell>
          <cell r="F90">
            <v>0</v>
          </cell>
          <cell r="G90">
            <v>0</v>
          </cell>
          <cell r="H90">
            <v>0</v>
          </cell>
          <cell r="I90">
            <v>0</v>
          </cell>
          <cell r="J90">
            <v>52994.575654616274</v>
          </cell>
        </row>
        <row r="91">
          <cell r="A91">
            <v>74</v>
          </cell>
          <cell r="B91">
            <v>43556</v>
          </cell>
          <cell r="C91">
            <v>0</v>
          </cell>
          <cell r="D91">
            <v>2876.7965825806332</v>
          </cell>
          <cell r="E91">
            <v>0</v>
          </cell>
          <cell r="F91">
            <v>0</v>
          </cell>
          <cell r="G91">
            <v>0</v>
          </cell>
          <cell r="H91">
            <v>0</v>
          </cell>
          <cell r="I91">
            <v>0</v>
          </cell>
          <cell r="J91">
            <v>52994.575654616274</v>
          </cell>
        </row>
        <row r="92">
          <cell r="A92">
            <v>75</v>
          </cell>
          <cell r="B92">
            <v>43586</v>
          </cell>
          <cell r="C92">
            <v>0</v>
          </cell>
          <cell r="D92">
            <v>2876.7965825806332</v>
          </cell>
          <cell r="E92">
            <v>0</v>
          </cell>
          <cell r="F92">
            <v>0</v>
          </cell>
          <cell r="G92">
            <v>0</v>
          </cell>
          <cell r="H92">
            <v>0</v>
          </cell>
          <cell r="I92">
            <v>0</v>
          </cell>
          <cell r="J92">
            <v>52994.575654616274</v>
          </cell>
        </row>
        <row r="93">
          <cell r="A93">
            <v>76</v>
          </cell>
          <cell r="B93">
            <v>43617</v>
          </cell>
          <cell r="C93">
            <v>0</v>
          </cell>
          <cell r="D93">
            <v>2876.7965825806332</v>
          </cell>
          <cell r="E93">
            <v>0</v>
          </cell>
          <cell r="F93">
            <v>0</v>
          </cell>
          <cell r="G93">
            <v>0</v>
          </cell>
          <cell r="H93">
            <v>0</v>
          </cell>
          <cell r="I93">
            <v>0</v>
          </cell>
          <cell r="J93">
            <v>52994.575654616274</v>
          </cell>
        </row>
        <row r="94">
          <cell r="A94">
            <v>77</v>
          </cell>
          <cell r="B94">
            <v>43647</v>
          </cell>
          <cell r="C94">
            <v>0</v>
          </cell>
          <cell r="D94">
            <v>2876.7965825806332</v>
          </cell>
          <cell r="E94">
            <v>0</v>
          </cell>
          <cell r="F94">
            <v>0</v>
          </cell>
          <cell r="G94">
            <v>0</v>
          </cell>
          <cell r="H94">
            <v>0</v>
          </cell>
          <cell r="I94">
            <v>0</v>
          </cell>
          <cell r="J94">
            <v>52994.575654616274</v>
          </cell>
        </row>
        <row r="95">
          <cell r="A95">
            <v>78</v>
          </cell>
          <cell r="B95">
            <v>43678</v>
          </cell>
          <cell r="C95">
            <v>0</v>
          </cell>
          <cell r="D95">
            <v>2876.7965825806332</v>
          </cell>
          <cell r="E95">
            <v>0</v>
          </cell>
          <cell r="F95">
            <v>0</v>
          </cell>
          <cell r="G95">
            <v>0</v>
          </cell>
          <cell r="H95">
            <v>0</v>
          </cell>
          <cell r="I95">
            <v>0</v>
          </cell>
          <cell r="J95">
            <v>52994.575654616274</v>
          </cell>
        </row>
        <row r="96">
          <cell r="A96">
            <v>79</v>
          </cell>
          <cell r="B96">
            <v>43709</v>
          </cell>
          <cell r="C96">
            <v>0</v>
          </cell>
          <cell r="D96">
            <v>2876.7965825806332</v>
          </cell>
          <cell r="E96">
            <v>0</v>
          </cell>
          <cell r="F96">
            <v>0</v>
          </cell>
          <cell r="G96">
            <v>0</v>
          </cell>
          <cell r="H96">
            <v>0</v>
          </cell>
          <cell r="I96">
            <v>0</v>
          </cell>
          <cell r="J96">
            <v>52994.575654616274</v>
          </cell>
        </row>
        <row r="97">
          <cell r="A97">
            <v>80</v>
          </cell>
          <cell r="B97">
            <v>43739</v>
          </cell>
          <cell r="C97">
            <v>0</v>
          </cell>
          <cell r="D97">
            <v>2876.7965825806332</v>
          </cell>
          <cell r="E97">
            <v>0</v>
          </cell>
          <cell r="F97">
            <v>0</v>
          </cell>
          <cell r="G97">
            <v>0</v>
          </cell>
          <cell r="H97">
            <v>0</v>
          </cell>
          <cell r="I97">
            <v>0</v>
          </cell>
          <cell r="J97">
            <v>52994.575654616274</v>
          </cell>
        </row>
        <row r="98">
          <cell r="A98">
            <v>81</v>
          </cell>
          <cell r="B98">
            <v>43770</v>
          </cell>
          <cell r="C98">
            <v>0</v>
          </cell>
          <cell r="D98">
            <v>2876.7965825806332</v>
          </cell>
          <cell r="E98">
            <v>0</v>
          </cell>
          <cell r="F98">
            <v>0</v>
          </cell>
          <cell r="G98">
            <v>0</v>
          </cell>
          <cell r="H98">
            <v>0</v>
          </cell>
          <cell r="I98">
            <v>0</v>
          </cell>
          <cell r="J98">
            <v>52994.575654616274</v>
          </cell>
        </row>
        <row r="99">
          <cell r="A99">
            <v>82</v>
          </cell>
          <cell r="B99">
            <v>43800</v>
          </cell>
          <cell r="C99">
            <v>0</v>
          </cell>
          <cell r="D99">
            <v>2876.7965825806332</v>
          </cell>
          <cell r="E99">
            <v>0</v>
          </cell>
          <cell r="F99">
            <v>0</v>
          </cell>
          <cell r="G99">
            <v>0</v>
          </cell>
          <cell r="H99">
            <v>0</v>
          </cell>
          <cell r="I99">
            <v>0</v>
          </cell>
          <cell r="J99">
            <v>52994.575654616274</v>
          </cell>
        </row>
        <row r="100">
          <cell r="A100">
            <v>83</v>
          </cell>
          <cell r="B100">
            <v>43831</v>
          </cell>
          <cell r="C100">
            <v>0</v>
          </cell>
          <cell r="D100">
            <v>2876.7965825806332</v>
          </cell>
          <cell r="E100">
            <v>0</v>
          </cell>
          <cell r="F100">
            <v>0</v>
          </cell>
          <cell r="G100">
            <v>0</v>
          </cell>
          <cell r="H100">
            <v>0</v>
          </cell>
          <cell r="I100">
            <v>0</v>
          </cell>
          <cell r="J100">
            <v>52994.575654616274</v>
          </cell>
        </row>
        <row r="101">
          <cell r="A101">
            <v>84</v>
          </cell>
          <cell r="B101">
            <v>43862</v>
          </cell>
          <cell r="C101">
            <v>0</v>
          </cell>
          <cell r="D101">
            <v>2876.7965825806332</v>
          </cell>
          <cell r="E101">
            <v>0</v>
          </cell>
          <cell r="F101">
            <v>0</v>
          </cell>
          <cell r="G101">
            <v>0</v>
          </cell>
          <cell r="H101">
            <v>0</v>
          </cell>
          <cell r="I101">
            <v>0</v>
          </cell>
          <cell r="J101">
            <v>52994.575654616274</v>
          </cell>
        </row>
        <row r="102">
          <cell r="A102">
            <v>85</v>
          </cell>
          <cell r="B102">
            <v>43891</v>
          </cell>
          <cell r="C102">
            <v>0</v>
          </cell>
          <cell r="D102">
            <v>2876.7965825806332</v>
          </cell>
          <cell r="E102">
            <v>0</v>
          </cell>
          <cell r="F102">
            <v>0</v>
          </cell>
          <cell r="G102">
            <v>0</v>
          </cell>
          <cell r="H102">
            <v>0</v>
          </cell>
          <cell r="I102">
            <v>0</v>
          </cell>
          <cell r="J102">
            <v>52994.575654616274</v>
          </cell>
        </row>
        <row r="103">
          <cell r="A103">
            <v>86</v>
          </cell>
          <cell r="B103">
            <v>43922</v>
          </cell>
          <cell r="C103">
            <v>0</v>
          </cell>
          <cell r="D103">
            <v>2876.7965825806332</v>
          </cell>
          <cell r="E103">
            <v>0</v>
          </cell>
          <cell r="F103">
            <v>0</v>
          </cell>
          <cell r="G103">
            <v>0</v>
          </cell>
          <cell r="H103">
            <v>0</v>
          </cell>
          <cell r="I103">
            <v>0</v>
          </cell>
          <cell r="J103">
            <v>52994.575654616274</v>
          </cell>
        </row>
        <row r="104">
          <cell r="A104">
            <v>87</v>
          </cell>
          <cell r="B104">
            <v>43952</v>
          </cell>
          <cell r="C104">
            <v>0</v>
          </cell>
          <cell r="D104">
            <v>2876.7965825806332</v>
          </cell>
          <cell r="E104">
            <v>0</v>
          </cell>
          <cell r="F104">
            <v>0</v>
          </cell>
          <cell r="G104">
            <v>0</v>
          </cell>
          <cell r="H104">
            <v>0</v>
          </cell>
          <cell r="I104">
            <v>0</v>
          </cell>
          <cell r="J104">
            <v>52994.575654616274</v>
          </cell>
        </row>
        <row r="105">
          <cell r="A105">
            <v>88</v>
          </cell>
          <cell r="B105">
            <v>43983</v>
          </cell>
          <cell r="C105">
            <v>0</v>
          </cell>
          <cell r="D105">
            <v>2876.7965825806332</v>
          </cell>
          <cell r="E105">
            <v>0</v>
          </cell>
          <cell r="F105">
            <v>0</v>
          </cell>
          <cell r="G105">
            <v>0</v>
          </cell>
          <cell r="H105">
            <v>0</v>
          </cell>
          <cell r="I105">
            <v>0</v>
          </cell>
          <cell r="J105">
            <v>52994.575654616274</v>
          </cell>
        </row>
        <row r="106">
          <cell r="A106">
            <v>89</v>
          </cell>
          <cell r="B106">
            <v>44013</v>
          </cell>
          <cell r="C106">
            <v>0</v>
          </cell>
          <cell r="D106">
            <v>2876.7965825806332</v>
          </cell>
          <cell r="E106">
            <v>0</v>
          </cell>
          <cell r="F106">
            <v>0</v>
          </cell>
          <cell r="G106">
            <v>0</v>
          </cell>
          <cell r="H106">
            <v>0</v>
          </cell>
          <cell r="I106">
            <v>0</v>
          </cell>
          <cell r="J106">
            <v>52994.575654616274</v>
          </cell>
        </row>
        <row r="107">
          <cell r="A107">
            <v>90</v>
          </cell>
          <cell r="B107">
            <v>44044</v>
          </cell>
          <cell r="C107">
            <v>0</v>
          </cell>
          <cell r="D107">
            <v>2876.7965825806332</v>
          </cell>
          <cell r="E107">
            <v>0</v>
          </cell>
          <cell r="F107">
            <v>0</v>
          </cell>
          <cell r="G107">
            <v>0</v>
          </cell>
          <cell r="H107">
            <v>0</v>
          </cell>
          <cell r="I107">
            <v>0</v>
          </cell>
          <cell r="J107">
            <v>52994.575654616274</v>
          </cell>
        </row>
        <row r="108">
          <cell r="A108">
            <v>91</v>
          </cell>
          <cell r="B108">
            <v>44075</v>
          </cell>
          <cell r="C108">
            <v>0</v>
          </cell>
          <cell r="D108">
            <v>2876.7965825806332</v>
          </cell>
          <cell r="E108">
            <v>0</v>
          </cell>
          <cell r="F108">
            <v>0</v>
          </cell>
          <cell r="G108">
            <v>0</v>
          </cell>
          <cell r="H108">
            <v>0</v>
          </cell>
          <cell r="I108">
            <v>0</v>
          </cell>
          <cell r="J108">
            <v>52994.575654616274</v>
          </cell>
        </row>
        <row r="109">
          <cell r="A109">
            <v>92</v>
          </cell>
          <cell r="B109">
            <v>44105</v>
          </cell>
          <cell r="C109">
            <v>0</v>
          </cell>
          <cell r="D109">
            <v>2876.7965825806332</v>
          </cell>
          <cell r="E109">
            <v>0</v>
          </cell>
          <cell r="F109">
            <v>0</v>
          </cell>
          <cell r="G109">
            <v>0</v>
          </cell>
          <cell r="H109">
            <v>0</v>
          </cell>
          <cell r="I109">
            <v>0</v>
          </cell>
          <cell r="J109">
            <v>52994.575654616274</v>
          </cell>
        </row>
        <row r="110">
          <cell r="A110">
            <v>93</v>
          </cell>
          <cell r="B110">
            <v>44136</v>
          </cell>
          <cell r="C110">
            <v>0</v>
          </cell>
          <cell r="D110">
            <v>2876.7965825806332</v>
          </cell>
          <cell r="E110">
            <v>0</v>
          </cell>
          <cell r="F110">
            <v>0</v>
          </cell>
          <cell r="G110">
            <v>0</v>
          </cell>
          <cell r="H110">
            <v>0</v>
          </cell>
          <cell r="I110">
            <v>0</v>
          </cell>
          <cell r="J110">
            <v>52994.575654616274</v>
          </cell>
        </row>
        <row r="111">
          <cell r="A111">
            <v>94</v>
          </cell>
          <cell r="B111">
            <v>44166</v>
          </cell>
          <cell r="C111">
            <v>0</v>
          </cell>
          <cell r="D111">
            <v>2876.7965825806332</v>
          </cell>
          <cell r="E111">
            <v>0</v>
          </cell>
          <cell r="F111">
            <v>0</v>
          </cell>
          <cell r="G111">
            <v>0</v>
          </cell>
          <cell r="H111">
            <v>0</v>
          </cell>
          <cell r="I111">
            <v>0</v>
          </cell>
          <cell r="J111">
            <v>52994.575654616274</v>
          </cell>
        </row>
        <row r="112">
          <cell r="A112">
            <v>95</v>
          </cell>
          <cell r="B112">
            <v>44197</v>
          </cell>
          <cell r="C112">
            <v>0</v>
          </cell>
          <cell r="D112">
            <v>2876.7965825806332</v>
          </cell>
          <cell r="E112">
            <v>0</v>
          </cell>
          <cell r="F112">
            <v>0</v>
          </cell>
          <cell r="G112">
            <v>0</v>
          </cell>
          <cell r="H112">
            <v>0</v>
          </cell>
          <cell r="I112">
            <v>0</v>
          </cell>
          <cell r="J112">
            <v>52994.575654616274</v>
          </cell>
        </row>
        <row r="113">
          <cell r="A113">
            <v>96</v>
          </cell>
          <cell r="B113">
            <v>44228</v>
          </cell>
          <cell r="C113">
            <v>0</v>
          </cell>
          <cell r="D113">
            <v>2876.7965825806332</v>
          </cell>
          <cell r="E113">
            <v>0</v>
          </cell>
          <cell r="F113">
            <v>0</v>
          </cell>
          <cell r="G113">
            <v>0</v>
          </cell>
          <cell r="H113">
            <v>0</v>
          </cell>
          <cell r="I113">
            <v>0</v>
          </cell>
          <cell r="J113">
            <v>52994.575654616274</v>
          </cell>
        </row>
        <row r="114">
          <cell r="A114">
            <v>97</v>
          </cell>
          <cell r="B114">
            <v>44256</v>
          </cell>
          <cell r="C114">
            <v>0</v>
          </cell>
          <cell r="D114">
            <v>2876.7965825806332</v>
          </cell>
          <cell r="E114">
            <v>0</v>
          </cell>
          <cell r="F114">
            <v>0</v>
          </cell>
          <cell r="G114">
            <v>0</v>
          </cell>
          <cell r="H114">
            <v>0</v>
          </cell>
          <cell r="I114">
            <v>0</v>
          </cell>
          <cell r="J114">
            <v>52994.575654616274</v>
          </cell>
        </row>
        <row r="115">
          <cell r="A115">
            <v>98</v>
          </cell>
          <cell r="B115">
            <v>44287</v>
          </cell>
          <cell r="C115">
            <v>0</v>
          </cell>
          <cell r="D115">
            <v>2876.7965825806332</v>
          </cell>
          <cell r="E115">
            <v>0</v>
          </cell>
          <cell r="F115">
            <v>0</v>
          </cell>
          <cell r="G115">
            <v>0</v>
          </cell>
          <cell r="H115">
            <v>0</v>
          </cell>
          <cell r="I115">
            <v>0</v>
          </cell>
          <cell r="J115">
            <v>52994.575654616274</v>
          </cell>
        </row>
        <row r="116">
          <cell r="A116">
            <v>99</v>
          </cell>
          <cell r="B116">
            <v>44317</v>
          </cell>
          <cell r="C116">
            <v>0</v>
          </cell>
          <cell r="D116">
            <v>2876.7965825806332</v>
          </cell>
          <cell r="E116">
            <v>0</v>
          </cell>
          <cell r="F116">
            <v>0</v>
          </cell>
          <cell r="G116">
            <v>0</v>
          </cell>
          <cell r="H116">
            <v>0</v>
          </cell>
          <cell r="I116">
            <v>0</v>
          </cell>
          <cell r="J116">
            <v>52994.575654616274</v>
          </cell>
        </row>
        <row r="117">
          <cell r="A117">
            <v>100</v>
          </cell>
          <cell r="B117">
            <v>44348</v>
          </cell>
          <cell r="C117">
            <v>0</v>
          </cell>
          <cell r="D117">
            <v>2876.7965825806332</v>
          </cell>
          <cell r="E117">
            <v>0</v>
          </cell>
          <cell r="F117">
            <v>0</v>
          </cell>
          <cell r="G117">
            <v>0</v>
          </cell>
          <cell r="H117">
            <v>0</v>
          </cell>
          <cell r="I117">
            <v>0</v>
          </cell>
          <cell r="J117">
            <v>52994.575654616274</v>
          </cell>
        </row>
        <row r="118">
          <cell r="A118">
            <v>101</v>
          </cell>
          <cell r="B118">
            <v>44378</v>
          </cell>
          <cell r="C118">
            <v>0</v>
          </cell>
          <cell r="D118">
            <v>2876.7965825806332</v>
          </cell>
          <cell r="E118">
            <v>0</v>
          </cell>
          <cell r="F118">
            <v>0</v>
          </cell>
          <cell r="G118">
            <v>0</v>
          </cell>
          <cell r="H118">
            <v>0</v>
          </cell>
          <cell r="I118">
            <v>0</v>
          </cell>
          <cell r="J118">
            <v>52994.575654616274</v>
          </cell>
        </row>
        <row r="119">
          <cell r="A119">
            <v>102</v>
          </cell>
          <cell r="B119">
            <v>44409</v>
          </cell>
          <cell r="C119">
            <v>0</v>
          </cell>
          <cell r="D119">
            <v>2876.7965825806332</v>
          </cell>
          <cell r="E119">
            <v>0</v>
          </cell>
          <cell r="F119">
            <v>0</v>
          </cell>
          <cell r="G119">
            <v>0</v>
          </cell>
          <cell r="H119">
            <v>0</v>
          </cell>
          <cell r="I119">
            <v>0</v>
          </cell>
          <cell r="J119">
            <v>52994.575654616274</v>
          </cell>
        </row>
        <row r="120">
          <cell r="A120">
            <v>103</v>
          </cell>
          <cell r="B120">
            <v>44440</v>
          </cell>
          <cell r="C120">
            <v>0</v>
          </cell>
          <cell r="D120">
            <v>2876.7965825806332</v>
          </cell>
          <cell r="E120">
            <v>0</v>
          </cell>
          <cell r="F120">
            <v>0</v>
          </cell>
          <cell r="G120">
            <v>0</v>
          </cell>
          <cell r="H120">
            <v>0</v>
          </cell>
          <cell r="I120">
            <v>0</v>
          </cell>
          <cell r="J120">
            <v>52994.575654616274</v>
          </cell>
        </row>
        <row r="121">
          <cell r="A121">
            <v>104</v>
          </cell>
          <cell r="B121">
            <v>44470</v>
          </cell>
          <cell r="C121">
            <v>0</v>
          </cell>
          <cell r="D121">
            <v>2876.7965825806332</v>
          </cell>
          <cell r="E121">
            <v>0</v>
          </cell>
          <cell r="F121">
            <v>0</v>
          </cell>
          <cell r="G121">
            <v>0</v>
          </cell>
          <cell r="H121">
            <v>0</v>
          </cell>
          <cell r="I121">
            <v>0</v>
          </cell>
          <cell r="J121">
            <v>52994.575654616274</v>
          </cell>
        </row>
        <row r="122">
          <cell r="A122">
            <v>105</v>
          </cell>
          <cell r="B122">
            <v>44501</v>
          </cell>
          <cell r="C122">
            <v>0</v>
          </cell>
          <cell r="D122">
            <v>2876.7965825806332</v>
          </cell>
          <cell r="E122">
            <v>0</v>
          </cell>
          <cell r="F122">
            <v>0</v>
          </cell>
          <cell r="G122">
            <v>0</v>
          </cell>
          <cell r="H122">
            <v>0</v>
          </cell>
          <cell r="I122">
            <v>0</v>
          </cell>
          <cell r="J122">
            <v>52994.575654616274</v>
          </cell>
        </row>
        <row r="123">
          <cell r="A123">
            <v>106</v>
          </cell>
          <cell r="B123">
            <v>44531</v>
          </cell>
          <cell r="C123">
            <v>0</v>
          </cell>
          <cell r="D123">
            <v>2876.7965825806332</v>
          </cell>
          <cell r="E123">
            <v>0</v>
          </cell>
          <cell r="F123">
            <v>0</v>
          </cell>
          <cell r="G123">
            <v>0</v>
          </cell>
          <cell r="H123">
            <v>0</v>
          </cell>
          <cell r="I123">
            <v>0</v>
          </cell>
          <cell r="J123">
            <v>52994.575654616274</v>
          </cell>
        </row>
        <row r="124">
          <cell r="A124">
            <v>107</v>
          </cell>
          <cell r="B124">
            <v>44562</v>
          </cell>
          <cell r="C124">
            <v>0</v>
          </cell>
          <cell r="D124">
            <v>2876.7965825806332</v>
          </cell>
          <cell r="E124">
            <v>0</v>
          </cell>
          <cell r="F124">
            <v>0</v>
          </cell>
          <cell r="G124">
            <v>0</v>
          </cell>
          <cell r="H124">
            <v>0</v>
          </cell>
          <cell r="I124">
            <v>0</v>
          </cell>
          <cell r="J124">
            <v>52994.575654616274</v>
          </cell>
        </row>
        <row r="125">
          <cell r="A125">
            <v>108</v>
          </cell>
          <cell r="B125">
            <v>44593</v>
          </cell>
          <cell r="C125">
            <v>0</v>
          </cell>
          <cell r="D125">
            <v>2876.7965825806332</v>
          </cell>
          <cell r="E125">
            <v>0</v>
          </cell>
          <cell r="F125">
            <v>0</v>
          </cell>
          <cell r="G125">
            <v>0</v>
          </cell>
          <cell r="H125">
            <v>0</v>
          </cell>
          <cell r="I125">
            <v>0</v>
          </cell>
          <cell r="J125">
            <v>52994.575654616274</v>
          </cell>
        </row>
        <row r="126">
          <cell r="A126">
            <v>109</v>
          </cell>
          <cell r="B126">
            <v>44621</v>
          </cell>
          <cell r="C126">
            <v>0</v>
          </cell>
          <cell r="D126">
            <v>2876.7965825806332</v>
          </cell>
          <cell r="E126">
            <v>0</v>
          </cell>
          <cell r="F126">
            <v>0</v>
          </cell>
          <cell r="G126">
            <v>0</v>
          </cell>
          <cell r="H126">
            <v>0</v>
          </cell>
          <cell r="I126">
            <v>0</v>
          </cell>
          <cell r="J126">
            <v>52994.575654616274</v>
          </cell>
        </row>
        <row r="127">
          <cell r="A127">
            <v>110</v>
          </cell>
          <cell r="B127">
            <v>44652</v>
          </cell>
          <cell r="C127">
            <v>0</v>
          </cell>
          <cell r="D127">
            <v>2876.7965825806332</v>
          </cell>
          <cell r="E127">
            <v>0</v>
          </cell>
          <cell r="F127">
            <v>0</v>
          </cell>
          <cell r="G127">
            <v>0</v>
          </cell>
          <cell r="H127">
            <v>0</v>
          </cell>
          <cell r="I127">
            <v>0</v>
          </cell>
          <cell r="J127">
            <v>52994.575654616274</v>
          </cell>
        </row>
        <row r="128">
          <cell r="A128">
            <v>111</v>
          </cell>
          <cell r="B128">
            <v>44682</v>
          </cell>
          <cell r="C128">
            <v>0</v>
          </cell>
          <cell r="D128">
            <v>2876.7965825806332</v>
          </cell>
          <cell r="E128">
            <v>0</v>
          </cell>
          <cell r="F128">
            <v>0</v>
          </cell>
          <cell r="G128">
            <v>0</v>
          </cell>
          <cell r="H128">
            <v>0</v>
          </cell>
          <cell r="I128">
            <v>0</v>
          </cell>
          <cell r="J128">
            <v>52994.575654616274</v>
          </cell>
        </row>
        <row r="129">
          <cell r="A129">
            <v>112</v>
          </cell>
          <cell r="B129">
            <v>44713</v>
          </cell>
          <cell r="C129">
            <v>0</v>
          </cell>
          <cell r="D129">
            <v>2876.7965825806332</v>
          </cell>
          <cell r="E129">
            <v>0</v>
          </cell>
          <cell r="F129">
            <v>0</v>
          </cell>
          <cell r="G129">
            <v>0</v>
          </cell>
          <cell r="H129">
            <v>0</v>
          </cell>
          <cell r="I129">
            <v>0</v>
          </cell>
          <cell r="J129">
            <v>52994.575654616274</v>
          </cell>
        </row>
        <row r="130">
          <cell r="A130">
            <v>113</v>
          </cell>
          <cell r="B130">
            <v>44743</v>
          </cell>
          <cell r="C130">
            <v>0</v>
          </cell>
          <cell r="D130">
            <v>2876.7965825806332</v>
          </cell>
          <cell r="E130">
            <v>0</v>
          </cell>
          <cell r="F130">
            <v>0</v>
          </cell>
          <cell r="G130">
            <v>0</v>
          </cell>
          <cell r="H130">
            <v>0</v>
          </cell>
          <cell r="I130">
            <v>0</v>
          </cell>
          <cell r="J130">
            <v>52994.575654616274</v>
          </cell>
        </row>
        <row r="131">
          <cell r="A131">
            <v>114</v>
          </cell>
          <cell r="B131">
            <v>44774</v>
          </cell>
          <cell r="C131">
            <v>0</v>
          </cell>
          <cell r="D131">
            <v>2876.7965825806332</v>
          </cell>
          <cell r="E131">
            <v>0</v>
          </cell>
          <cell r="F131">
            <v>0</v>
          </cell>
          <cell r="G131">
            <v>0</v>
          </cell>
          <cell r="H131">
            <v>0</v>
          </cell>
          <cell r="I131">
            <v>0</v>
          </cell>
          <cell r="J131">
            <v>52994.575654616274</v>
          </cell>
        </row>
        <row r="132">
          <cell r="A132">
            <v>115</v>
          </cell>
          <cell r="B132">
            <v>44805</v>
          </cell>
          <cell r="C132">
            <v>0</v>
          </cell>
          <cell r="D132">
            <v>2876.7965825806332</v>
          </cell>
          <cell r="E132">
            <v>0</v>
          </cell>
          <cell r="F132">
            <v>0</v>
          </cell>
          <cell r="G132">
            <v>0</v>
          </cell>
          <cell r="H132">
            <v>0</v>
          </cell>
          <cell r="I132">
            <v>0</v>
          </cell>
          <cell r="J132">
            <v>52994.575654616274</v>
          </cell>
        </row>
        <row r="133">
          <cell r="A133">
            <v>116</v>
          </cell>
          <cell r="B133">
            <v>44835</v>
          </cell>
          <cell r="C133">
            <v>0</v>
          </cell>
          <cell r="D133">
            <v>2876.7965825806332</v>
          </cell>
          <cell r="E133">
            <v>0</v>
          </cell>
          <cell r="F133">
            <v>0</v>
          </cell>
          <cell r="G133">
            <v>0</v>
          </cell>
          <cell r="H133">
            <v>0</v>
          </cell>
          <cell r="I133">
            <v>0</v>
          </cell>
          <cell r="J133">
            <v>52994.575654616274</v>
          </cell>
        </row>
        <row r="134">
          <cell r="A134">
            <v>117</v>
          </cell>
          <cell r="B134">
            <v>44866</v>
          </cell>
          <cell r="C134">
            <v>0</v>
          </cell>
          <cell r="D134">
            <v>2876.7965825806332</v>
          </cell>
          <cell r="E134">
            <v>0</v>
          </cell>
          <cell r="F134">
            <v>0</v>
          </cell>
          <cell r="G134">
            <v>0</v>
          </cell>
          <cell r="H134">
            <v>0</v>
          </cell>
          <cell r="I134">
            <v>0</v>
          </cell>
          <cell r="J134">
            <v>52994.575654616274</v>
          </cell>
        </row>
        <row r="135">
          <cell r="A135">
            <v>118</v>
          </cell>
          <cell r="B135">
            <v>44896</v>
          </cell>
          <cell r="C135">
            <v>0</v>
          </cell>
          <cell r="D135">
            <v>2876.7965825806332</v>
          </cell>
          <cell r="E135">
            <v>0</v>
          </cell>
          <cell r="F135">
            <v>0</v>
          </cell>
          <cell r="G135">
            <v>0</v>
          </cell>
          <cell r="H135">
            <v>0</v>
          </cell>
          <cell r="I135">
            <v>0</v>
          </cell>
          <cell r="J135">
            <v>52994.575654616274</v>
          </cell>
        </row>
        <row r="136">
          <cell r="A136">
            <v>119</v>
          </cell>
          <cell r="B136">
            <v>44927</v>
          </cell>
          <cell r="C136">
            <v>0</v>
          </cell>
          <cell r="D136">
            <v>2876.7965825806332</v>
          </cell>
          <cell r="E136">
            <v>0</v>
          </cell>
          <cell r="F136">
            <v>0</v>
          </cell>
          <cell r="G136">
            <v>0</v>
          </cell>
          <cell r="H136">
            <v>0</v>
          </cell>
          <cell r="I136">
            <v>0</v>
          </cell>
          <cell r="J136">
            <v>52994.575654616274</v>
          </cell>
        </row>
        <row r="137">
          <cell r="A137">
            <v>120</v>
          </cell>
          <cell r="B137">
            <v>44958</v>
          </cell>
          <cell r="C137">
            <v>0</v>
          </cell>
          <cell r="D137">
            <v>2876.7965825806332</v>
          </cell>
          <cell r="E137">
            <v>0</v>
          </cell>
          <cell r="F137">
            <v>0</v>
          </cell>
          <cell r="G137">
            <v>0</v>
          </cell>
          <cell r="H137">
            <v>0</v>
          </cell>
          <cell r="I137">
            <v>0</v>
          </cell>
          <cell r="J137">
            <v>52994.575654616274</v>
          </cell>
        </row>
        <row r="138">
          <cell r="A138">
            <v>121</v>
          </cell>
          <cell r="B138">
            <v>44986</v>
          </cell>
          <cell r="C138">
            <v>0</v>
          </cell>
          <cell r="D138">
            <v>2876.7965825806332</v>
          </cell>
          <cell r="E138">
            <v>0</v>
          </cell>
          <cell r="F138">
            <v>0</v>
          </cell>
          <cell r="G138">
            <v>0</v>
          </cell>
          <cell r="H138">
            <v>0</v>
          </cell>
          <cell r="I138">
            <v>0</v>
          </cell>
          <cell r="J138">
            <v>52994.575654616274</v>
          </cell>
        </row>
        <row r="139">
          <cell r="A139">
            <v>122</v>
          </cell>
          <cell r="B139">
            <v>45017</v>
          </cell>
          <cell r="C139">
            <v>0</v>
          </cell>
          <cell r="D139">
            <v>2876.7965825806332</v>
          </cell>
          <cell r="E139">
            <v>0</v>
          </cell>
          <cell r="F139">
            <v>0</v>
          </cell>
          <cell r="G139">
            <v>0</v>
          </cell>
          <cell r="H139">
            <v>0</v>
          </cell>
          <cell r="I139">
            <v>0</v>
          </cell>
          <cell r="J139">
            <v>52994.575654616274</v>
          </cell>
        </row>
        <row r="140">
          <cell r="A140">
            <v>123</v>
          </cell>
          <cell r="B140">
            <v>45047</v>
          </cell>
          <cell r="C140">
            <v>0</v>
          </cell>
          <cell r="D140">
            <v>2876.7965825806332</v>
          </cell>
          <cell r="E140">
            <v>0</v>
          </cell>
          <cell r="F140">
            <v>0</v>
          </cell>
          <cell r="G140">
            <v>0</v>
          </cell>
          <cell r="H140">
            <v>0</v>
          </cell>
          <cell r="I140">
            <v>0</v>
          </cell>
          <cell r="J140">
            <v>52994.575654616274</v>
          </cell>
        </row>
        <row r="141">
          <cell r="A141">
            <v>124</v>
          </cell>
          <cell r="B141">
            <v>45078</v>
          </cell>
          <cell r="C141">
            <v>0</v>
          </cell>
          <cell r="D141">
            <v>2876.7965825806332</v>
          </cell>
          <cell r="E141">
            <v>0</v>
          </cell>
          <cell r="F141">
            <v>0</v>
          </cell>
          <cell r="G141">
            <v>0</v>
          </cell>
          <cell r="H141">
            <v>0</v>
          </cell>
          <cell r="I141">
            <v>0</v>
          </cell>
          <cell r="J141">
            <v>52994.575654616274</v>
          </cell>
        </row>
        <row r="142">
          <cell r="A142">
            <v>125</v>
          </cell>
          <cell r="B142">
            <v>45108</v>
          </cell>
          <cell r="C142">
            <v>0</v>
          </cell>
          <cell r="D142">
            <v>2876.7965825806332</v>
          </cell>
          <cell r="E142">
            <v>0</v>
          </cell>
          <cell r="F142">
            <v>0</v>
          </cell>
          <cell r="G142">
            <v>0</v>
          </cell>
          <cell r="H142">
            <v>0</v>
          </cell>
          <cell r="I142">
            <v>0</v>
          </cell>
          <cell r="J142">
            <v>52994.575654616274</v>
          </cell>
        </row>
        <row r="143">
          <cell r="A143">
            <v>126</v>
          </cell>
          <cell r="B143">
            <v>45139</v>
          </cell>
          <cell r="C143">
            <v>0</v>
          </cell>
          <cell r="D143">
            <v>2876.7965825806332</v>
          </cell>
          <cell r="E143">
            <v>0</v>
          </cell>
          <cell r="F143">
            <v>0</v>
          </cell>
          <cell r="G143">
            <v>0</v>
          </cell>
          <cell r="H143">
            <v>0</v>
          </cell>
          <cell r="I143">
            <v>0</v>
          </cell>
          <cell r="J143">
            <v>52994.575654616274</v>
          </cell>
        </row>
        <row r="144">
          <cell r="A144">
            <v>127</v>
          </cell>
          <cell r="B144">
            <v>45170</v>
          </cell>
          <cell r="C144">
            <v>0</v>
          </cell>
          <cell r="D144">
            <v>2876.7965825806332</v>
          </cell>
          <cell r="E144">
            <v>0</v>
          </cell>
          <cell r="F144">
            <v>0</v>
          </cell>
          <cell r="G144">
            <v>0</v>
          </cell>
          <cell r="H144">
            <v>0</v>
          </cell>
          <cell r="I144">
            <v>0</v>
          </cell>
          <cell r="J144">
            <v>52994.575654616274</v>
          </cell>
        </row>
        <row r="145">
          <cell r="A145">
            <v>128</v>
          </cell>
          <cell r="B145">
            <v>45200</v>
          </cell>
          <cell r="C145">
            <v>0</v>
          </cell>
          <cell r="D145">
            <v>2876.7965825806332</v>
          </cell>
          <cell r="E145">
            <v>0</v>
          </cell>
          <cell r="F145">
            <v>0</v>
          </cell>
          <cell r="G145">
            <v>0</v>
          </cell>
          <cell r="H145">
            <v>0</v>
          </cell>
          <cell r="I145">
            <v>0</v>
          </cell>
          <cell r="J145">
            <v>52994.575654616274</v>
          </cell>
        </row>
        <row r="146">
          <cell r="A146">
            <v>129</v>
          </cell>
          <cell r="B146">
            <v>45231</v>
          </cell>
          <cell r="C146">
            <v>0</v>
          </cell>
          <cell r="D146">
            <v>2876.7965825806332</v>
          </cell>
          <cell r="E146">
            <v>0</v>
          </cell>
          <cell r="F146">
            <v>0</v>
          </cell>
          <cell r="G146">
            <v>0</v>
          </cell>
          <cell r="H146">
            <v>0</v>
          </cell>
          <cell r="I146">
            <v>0</v>
          </cell>
          <cell r="J146">
            <v>52994.575654616274</v>
          </cell>
        </row>
        <row r="147">
          <cell r="A147">
            <v>130</v>
          </cell>
          <cell r="B147">
            <v>45261</v>
          </cell>
          <cell r="C147">
            <v>0</v>
          </cell>
          <cell r="D147">
            <v>2876.7965825806332</v>
          </cell>
          <cell r="E147">
            <v>0</v>
          </cell>
          <cell r="F147">
            <v>0</v>
          </cell>
          <cell r="G147">
            <v>0</v>
          </cell>
          <cell r="H147">
            <v>0</v>
          </cell>
          <cell r="I147">
            <v>0</v>
          </cell>
          <cell r="J147">
            <v>52994.575654616274</v>
          </cell>
        </row>
        <row r="148">
          <cell r="A148">
            <v>131</v>
          </cell>
          <cell r="B148">
            <v>45292</v>
          </cell>
          <cell r="C148">
            <v>0</v>
          </cell>
          <cell r="D148">
            <v>2876.7965825806332</v>
          </cell>
          <cell r="E148">
            <v>0</v>
          </cell>
          <cell r="F148">
            <v>0</v>
          </cell>
          <cell r="G148">
            <v>0</v>
          </cell>
          <cell r="H148">
            <v>0</v>
          </cell>
          <cell r="I148">
            <v>0</v>
          </cell>
          <cell r="J148">
            <v>52994.575654616274</v>
          </cell>
        </row>
        <row r="149">
          <cell r="A149">
            <v>132</v>
          </cell>
          <cell r="B149">
            <v>45323</v>
          </cell>
          <cell r="C149">
            <v>0</v>
          </cell>
          <cell r="D149">
            <v>2876.7965825806332</v>
          </cell>
          <cell r="E149">
            <v>0</v>
          </cell>
          <cell r="F149">
            <v>0</v>
          </cell>
          <cell r="G149">
            <v>0</v>
          </cell>
          <cell r="H149">
            <v>0</v>
          </cell>
          <cell r="I149">
            <v>0</v>
          </cell>
          <cell r="J149">
            <v>52994.575654616274</v>
          </cell>
        </row>
        <row r="150">
          <cell r="A150">
            <v>133</v>
          </cell>
          <cell r="B150">
            <v>45352</v>
          </cell>
          <cell r="C150">
            <v>0</v>
          </cell>
          <cell r="D150">
            <v>2876.7965825806332</v>
          </cell>
          <cell r="E150">
            <v>0</v>
          </cell>
          <cell r="F150">
            <v>0</v>
          </cell>
          <cell r="G150">
            <v>0</v>
          </cell>
          <cell r="H150">
            <v>0</v>
          </cell>
          <cell r="I150">
            <v>0</v>
          </cell>
          <cell r="J150">
            <v>52994.575654616274</v>
          </cell>
        </row>
        <row r="151">
          <cell r="A151">
            <v>134</v>
          </cell>
          <cell r="B151">
            <v>45383</v>
          </cell>
          <cell r="C151">
            <v>0</v>
          </cell>
          <cell r="D151">
            <v>2876.7965825806332</v>
          </cell>
          <cell r="E151">
            <v>0</v>
          </cell>
          <cell r="F151">
            <v>0</v>
          </cell>
          <cell r="G151">
            <v>0</v>
          </cell>
          <cell r="H151">
            <v>0</v>
          </cell>
          <cell r="I151">
            <v>0</v>
          </cell>
          <cell r="J151">
            <v>52994.575654616274</v>
          </cell>
        </row>
        <row r="152">
          <cell r="A152">
            <v>135</v>
          </cell>
          <cell r="B152">
            <v>45413</v>
          </cell>
          <cell r="C152">
            <v>0</v>
          </cell>
          <cell r="D152">
            <v>2876.7965825806332</v>
          </cell>
          <cell r="E152">
            <v>0</v>
          </cell>
          <cell r="F152">
            <v>0</v>
          </cell>
          <cell r="G152">
            <v>0</v>
          </cell>
          <cell r="H152">
            <v>0</v>
          </cell>
          <cell r="I152">
            <v>0</v>
          </cell>
          <cell r="J152">
            <v>52994.575654616274</v>
          </cell>
        </row>
        <row r="153">
          <cell r="A153">
            <v>136</v>
          </cell>
          <cell r="B153">
            <v>45444</v>
          </cell>
          <cell r="C153">
            <v>0</v>
          </cell>
          <cell r="D153">
            <v>2876.7965825806332</v>
          </cell>
          <cell r="E153">
            <v>0</v>
          </cell>
          <cell r="F153">
            <v>0</v>
          </cell>
          <cell r="G153">
            <v>0</v>
          </cell>
          <cell r="H153">
            <v>0</v>
          </cell>
          <cell r="I153">
            <v>0</v>
          </cell>
          <cell r="J153">
            <v>52994.575654616274</v>
          </cell>
        </row>
        <row r="154">
          <cell r="A154">
            <v>137</v>
          </cell>
          <cell r="B154">
            <v>45474</v>
          </cell>
          <cell r="C154">
            <v>0</v>
          </cell>
          <cell r="D154">
            <v>2876.7965825806332</v>
          </cell>
          <cell r="E154">
            <v>0</v>
          </cell>
          <cell r="F154">
            <v>0</v>
          </cell>
          <cell r="G154">
            <v>0</v>
          </cell>
          <cell r="H154">
            <v>0</v>
          </cell>
          <cell r="I154">
            <v>0</v>
          </cell>
          <cell r="J154">
            <v>52994.575654616274</v>
          </cell>
        </row>
        <row r="155">
          <cell r="A155">
            <v>138</v>
          </cell>
          <cell r="B155">
            <v>45505</v>
          </cell>
          <cell r="C155">
            <v>0</v>
          </cell>
          <cell r="D155">
            <v>2876.7965825806332</v>
          </cell>
          <cell r="E155">
            <v>0</v>
          </cell>
          <cell r="F155">
            <v>0</v>
          </cell>
          <cell r="G155">
            <v>0</v>
          </cell>
          <cell r="H155">
            <v>0</v>
          </cell>
          <cell r="I155">
            <v>0</v>
          </cell>
          <cell r="J155">
            <v>52994.575654616274</v>
          </cell>
        </row>
        <row r="156">
          <cell r="A156">
            <v>139</v>
          </cell>
          <cell r="B156">
            <v>45536</v>
          </cell>
          <cell r="C156">
            <v>0</v>
          </cell>
          <cell r="D156">
            <v>2876.7965825806332</v>
          </cell>
          <cell r="E156">
            <v>0</v>
          </cell>
          <cell r="F156">
            <v>0</v>
          </cell>
          <cell r="G156">
            <v>0</v>
          </cell>
          <cell r="H156">
            <v>0</v>
          </cell>
          <cell r="I156">
            <v>0</v>
          </cell>
          <cell r="J156">
            <v>52994.575654616274</v>
          </cell>
        </row>
        <row r="157">
          <cell r="A157">
            <v>140</v>
          </cell>
          <cell r="B157">
            <v>45566</v>
          </cell>
          <cell r="C157">
            <v>0</v>
          </cell>
          <cell r="D157">
            <v>2876.7965825806332</v>
          </cell>
          <cell r="E157">
            <v>0</v>
          </cell>
          <cell r="F157">
            <v>0</v>
          </cell>
          <cell r="G157">
            <v>0</v>
          </cell>
          <cell r="H157">
            <v>0</v>
          </cell>
          <cell r="I157">
            <v>0</v>
          </cell>
          <cell r="J157">
            <v>52994.575654616274</v>
          </cell>
        </row>
        <row r="158">
          <cell r="A158">
            <v>141</v>
          </cell>
          <cell r="B158">
            <v>45597</v>
          </cell>
          <cell r="C158">
            <v>0</v>
          </cell>
          <cell r="D158">
            <v>2876.7965825806332</v>
          </cell>
          <cell r="E158">
            <v>0</v>
          </cell>
          <cell r="F158">
            <v>0</v>
          </cell>
          <cell r="G158">
            <v>0</v>
          </cell>
          <cell r="H158">
            <v>0</v>
          </cell>
          <cell r="I158">
            <v>0</v>
          </cell>
          <cell r="J158">
            <v>52994.575654616274</v>
          </cell>
        </row>
        <row r="159">
          <cell r="A159">
            <v>142</v>
          </cell>
          <cell r="B159">
            <v>45627</v>
          </cell>
          <cell r="C159">
            <v>0</v>
          </cell>
          <cell r="D159">
            <v>2876.7965825806332</v>
          </cell>
          <cell r="E159">
            <v>0</v>
          </cell>
          <cell r="F159">
            <v>0</v>
          </cell>
          <cell r="G159">
            <v>0</v>
          </cell>
          <cell r="H159">
            <v>0</v>
          </cell>
          <cell r="I159">
            <v>0</v>
          </cell>
          <cell r="J159">
            <v>52994.575654616274</v>
          </cell>
        </row>
        <row r="160">
          <cell r="A160">
            <v>143</v>
          </cell>
          <cell r="B160">
            <v>45658</v>
          </cell>
          <cell r="C160">
            <v>0</v>
          </cell>
          <cell r="D160">
            <v>2876.7965825806332</v>
          </cell>
          <cell r="E160">
            <v>0</v>
          </cell>
          <cell r="F160">
            <v>0</v>
          </cell>
          <cell r="G160">
            <v>0</v>
          </cell>
          <cell r="H160">
            <v>0</v>
          </cell>
          <cell r="I160">
            <v>0</v>
          </cell>
          <cell r="J160">
            <v>52994.575654616274</v>
          </cell>
        </row>
        <row r="161">
          <cell r="A161">
            <v>144</v>
          </cell>
          <cell r="B161">
            <v>45689</v>
          </cell>
          <cell r="C161">
            <v>0</v>
          </cell>
          <cell r="D161">
            <v>2876.7965825806332</v>
          </cell>
          <cell r="E161">
            <v>0</v>
          </cell>
          <cell r="F161">
            <v>0</v>
          </cell>
          <cell r="G161">
            <v>0</v>
          </cell>
          <cell r="H161">
            <v>0</v>
          </cell>
          <cell r="I161">
            <v>0</v>
          </cell>
          <cell r="J161">
            <v>52994.575654616274</v>
          </cell>
        </row>
        <row r="162">
          <cell r="A162">
            <v>145</v>
          </cell>
          <cell r="B162">
            <v>45717</v>
          </cell>
          <cell r="C162">
            <v>0</v>
          </cell>
          <cell r="D162">
            <v>2876.7965825806332</v>
          </cell>
          <cell r="E162">
            <v>0</v>
          </cell>
          <cell r="F162">
            <v>0</v>
          </cell>
          <cell r="G162">
            <v>0</v>
          </cell>
          <cell r="H162">
            <v>0</v>
          </cell>
          <cell r="I162">
            <v>0</v>
          </cell>
          <cell r="J162">
            <v>52994.575654616274</v>
          </cell>
        </row>
        <row r="163">
          <cell r="A163">
            <v>146</v>
          </cell>
          <cell r="B163">
            <v>45748</v>
          </cell>
          <cell r="C163">
            <v>0</v>
          </cell>
          <cell r="D163">
            <v>2876.7965825806332</v>
          </cell>
          <cell r="E163">
            <v>0</v>
          </cell>
          <cell r="F163">
            <v>0</v>
          </cell>
          <cell r="G163">
            <v>0</v>
          </cell>
          <cell r="H163">
            <v>0</v>
          </cell>
          <cell r="I163">
            <v>0</v>
          </cell>
          <cell r="J163">
            <v>52994.575654616274</v>
          </cell>
        </row>
        <row r="164">
          <cell r="A164">
            <v>147</v>
          </cell>
          <cell r="B164">
            <v>45778</v>
          </cell>
          <cell r="C164">
            <v>0</v>
          </cell>
          <cell r="D164">
            <v>2876.7965825806332</v>
          </cell>
          <cell r="E164">
            <v>0</v>
          </cell>
          <cell r="F164">
            <v>0</v>
          </cell>
          <cell r="G164">
            <v>0</v>
          </cell>
          <cell r="H164">
            <v>0</v>
          </cell>
          <cell r="I164">
            <v>0</v>
          </cell>
          <cell r="J164">
            <v>52994.575654616274</v>
          </cell>
        </row>
        <row r="165">
          <cell r="A165">
            <v>148</v>
          </cell>
          <cell r="B165">
            <v>45809</v>
          </cell>
          <cell r="C165">
            <v>0</v>
          </cell>
          <cell r="D165">
            <v>2876.7965825806332</v>
          </cell>
          <cell r="E165">
            <v>0</v>
          </cell>
          <cell r="F165">
            <v>0</v>
          </cell>
          <cell r="G165">
            <v>0</v>
          </cell>
          <cell r="H165">
            <v>0</v>
          </cell>
          <cell r="I165">
            <v>0</v>
          </cell>
          <cell r="J165">
            <v>52994.575654616274</v>
          </cell>
        </row>
        <row r="166">
          <cell r="A166">
            <v>149</v>
          </cell>
          <cell r="B166">
            <v>45839</v>
          </cell>
          <cell r="C166">
            <v>0</v>
          </cell>
          <cell r="D166">
            <v>2876.7965825806332</v>
          </cell>
          <cell r="E166">
            <v>0</v>
          </cell>
          <cell r="F166">
            <v>0</v>
          </cell>
          <cell r="G166">
            <v>0</v>
          </cell>
          <cell r="H166">
            <v>0</v>
          </cell>
          <cell r="I166">
            <v>0</v>
          </cell>
          <cell r="J166">
            <v>52994.575654616274</v>
          </cell>
        </row>
        <row r="167">
          <cell r="A167">
            <v>150</v>
          </cell>
          <cell r="B167">
            <v>45870</v>
          </cell>
          <cell r="C167">
            <v>0</v>
          </cell>
          <cell r="D167">
            <v>2876.7965825806332</v>
          </cell>
          <cell r="E167">
            <v>0</v>
          </cell>
          <cell r="F167">
            <v>0</v>
          </cell>
          <cell r="G167">
            <v>0</v>
          </cell>
          <cell r="H167">
            <v>0</v>
          </cell>
          <cell r="I167">
            <v>0</v>
          </cell>
          <cell r="J167">
            <v>52994.575654616274</v>
          </cell>
        </row>
        <row r="168">
          <cell r="A168">
            <v>151</v>
          </cell>
          <cell r="B168">
            <v>45901</v>
          </cell>
          <cell r="C168">
            <v>0</v>
          </cell>
          <cell r="D168">
            <v>2876.7965825806332</v>
          </cell>
          <cell r="E168">
            <v>0</v>
          </cell>
          <cell r="F168">
            <v>0</v>
          </cell>
          <cell r="G168">
            <v>0</v>
          </cell>
          <cell r="H168">
            <v>0</v>
          </cell>
          <cell r="I168">
            <v>0</v>
          </cell>
          <cell r="J168">
            <v>52994.575654616274</v>
          </cell>
        </row>
        <row r="169">
          <cell r="A169">
            <v>152</v>
          </cell>
          <cell r="B169">
            <v>45931</v>
          </cell>
          <cell r="C169">
            <v>0</v>
          </cell>
          <cell r="D169">
            <v>2876.7965825806332</v>
          </cell>
          <cell r="E169">
            <v>0</v>
          </cell>
          <cell r="F169">
            <v>0</v>
          </cell>
          <cell r="G169">
            <v>0</v>
          </cell>
          <cell r="H169">
            <v>0</v>
          </cell>
          <cell r="I169">
            <v>0</v>
          </cell>
          <cell r="J169">
            <v>52994.575654616274</v>
          </cell>
        </row>
        <row r="170">
          <cell r="A170">
            <v>153</v>
          </cell>
          <cell r="B170">
            <v>45962</v>
          </cell>
          <cell r="C170">
            <v>0</v>
          </cell>
          <cell r="D170">
            <v>2876.7965825806332</v>
          </cell>
          <cell r="E170">
            <v>0</v>
          </cell>
          <cell r="F170">
            <v>0</v>
          </cell>
          <cell r="G170">
            <v>0</v>
          </cell>
          <cell r="H170">
            <v>0</v>
          </cell>
          <cell r="I170">
            <v>0</v>
          </cell>
          <cell r="J170">
            <v>52994.575654616274</v>
          </cell>
        </row>
        <row r="171">
          <cell r="A171">
            <v>154</v>
          </cell>
          <cell r="B171">
            <v>45992</v>
          </cell>
          <cell r="C171">
            <v>0</v>
          </cell>
          <cell r="D171">
            <v>2876.7965825806332</v>
          </cell>
          <cell r="E171">
            <v>0</v>
          </cell>
          <cell r="F171">
            <v>0</v>
          </cell>
          <cell r="G171">
            <v>0</v>
          </cell>
          <cell r="H171">
            <v>0</v>
          </cell>
          <cell r="I171">
            <v>0</v>
          </cell>
          <cell r="J171">
            <v>52994.575654616274</v>
          </cell>
        </row>
        <row r="172">
          <cell r="A172">
            <v>155</v>
          </cell>
          <cell r="B172">
            <v>46023</v>
          </cell>
          <cell r="C172">
            <v>0</v>
          </cell>
          <cell r="D172">
            <v>2876.7965825806332</v>
          </cell>
          <cell r="E172">
            <v>0</v>
          </cell>
          <cell r="F172">
            <v>0</v>
          </cell>
          <cell r="G172">
            <v>0</v>
          </cell>
          <cell r="H172">
            <v>0</v>
          </cell>
          <cell r="I172">
            <v>0</v>
          </cell>
          <cell r="J172">
            <v>52994.575654616274</v>
          </cell>
        </row>
        <row r="173">
          <cell r="A173">
            <v>156</v>
          </cell>
          <cell r="B173">
            <v>46054</v>
          </cell>
          <cell r="C173">
            <v>0</v>
          </cell>
          <cell r="D173">
            <v>2876.7965825806332</v>
          </cell>
          <cell r="E173">
            <v>0</v>
          </cell>
          <cell r="F173">
            <v>0</v>
          </cell>
          <cell r="G173">
            <v>0</v>
          </cell>
          <cell r="H173">
            <v>0</v>
          </cell>
          <cell r="I173">
            <v>0</v>
          </cell>
          <cell r="J173">
            <v>52994.575654616274</v>
          </cell>
        </row>
        <row r="174">
          <cell r="A174">
            <v>157</v>
          </cell>
          <cell r="B174">
            <v>46082</v>
          </cell>
          <cell r="C174">
            <v>0</v>
          </cell>
          <cell r="D174">
            <v>2876.7965825806332</v>
          </cell>
          <cell r="E174">
            <v>0</v>
          </cell>
          <cell r="F174">
            <v>0</v>
          </cell>
          <cell r="G174">
            <v>0</v>
          </cell>
          <cell r="H174">
            <v>0</v>
          </cell>
          <cell r="I174">
            <v>0</v>
          </cell>
          <cell r="J174">
            <v>52994.575654616274</v>
          </cell>
        </row>
        <row r="175">
          <cell r="A175">
            <v>158</v>
          </cell>
          <cell r="B175">
            <v>46113</v>
          </cell>
          <cell r="C175">
            <v>0</v>
          </cell>
          <cell r="D175">
            <v>2876.7965825806332</v>
          </cell>
          <cell r="E175">
            <v>0</v>
          </cell>
          <cell r="F175">
            <v>0</v>
          </cell>
          <cell r="G175">
            <v>0</v>
          </cell>
          <cell r="H175">
            <v>0</v>
          </cell>
          <cell r="I175">
            <v>0</v>
          </cell>
          <cell r="J175">
            <v>52994.575654616274</v>
          </cell>
        </row>
        <row r="176">
          <cell r="A176">
            <v>159</v>
          </cell>
          <cell r="B176">
            <v>46143</v>
          </cell>
          <cell r="C176">
            <v>0</v>
          </cell>
          <cell r="D176">
            <v>2876.7965825806332</v>
          </cell>
          <cell r="E176">
            <v>0</v>
          </cell>
          <cell r="F176">
            <v>0</v>
          </cell>
          <cell r="G176">
            <v>0</v>
          </cell>
          <cell r="H176">
            <v>0</v>
          </cell>
          <cell r="I176">
            <v>0</v>
          </cell>
          <cell r="J176">
            <v>52994.575654616274</v>
          </cell>
        </row>
        <row r="177">
          <cell r="A177">
            <v>160</v>
          </cell>
          <cell r="B177">
            <v>46174</v>
          </cell>
          <cell r="C177">
            <v>0</v>
          </cell>
          <cell r="D177">
            <v>2876.7965825806332</v>
          </cell>
          <cell r="E177">
            <v>0</v>
          </cell>
          <cell r="F177">
            <v>0</v>
          </cell>
          <cell r="G177">
            <v>0</v>
          </cell>
          <cell r="H177">
            <v>0</v>
          </cell>
          <cell r="I177">
            <v>0</v>
          </cell>
          <cell r="J177">
            <v>52994.575654616274</v>
          </cell>
        </row>
        <row r="178">
          <cell r="A178">
            <v>161</v>
          </cell>
          <cell r="B178">
            <v>46204</v>
          </cell>
          <cell r="C178">
            <v>0</v>
          </cell>
          <cell r="D178">
            <v>2876.7965825806332</v>
          </cell>
          <cell r="E178">
            <v>0</v>
          </cell>
          <cell r="F178">
            <v>0</v>
          </cell>
          <cell r="G178">
            <v>0</v>
          </cell>
          <cell r="H178">
            <v>0</v>
          </cell>
          <cell r="I178">
            <v>0</v>
          </cell>
          <cell r="J178">
            <v>52994.575654616274</v>
          </cell>
        </row>
        <row r="179">
          <cell r="A179">
            <v>162</v>
          </cell>
          <cell r="B179">
            <v>46235</v>
          </cell>
          <cell r="C179">
            <v>0</v>
          </cell>
          <cell r="D179">
            <v>2876.7965825806332</v>
          </cell>
          <cell r="E179">
            <v>0</v>
          </cell>
          <cell r="F179">
            <v>0</v>
          </cell>
          <cell r="G179">
            <v>0</v>
          </cell>
          <cell r="H179">
            <v>0</v>
          </cell>
          <cell r="I179">
            <v>0</v>
          </cell>
          <cell r="J179">
            <v>52994.575654616274</v>
          </cell>
        </row>
        <row r="180">
          <cell r="A180">
            <v>163</v>
          </cell>
          <cell r="B180">
            <v>46266</v>
          </cell>
          <cell r="C180">
            <v>0</v>
          </cell>
          <cell r="D180">
            <v>2876.7965825806332</v>
          </cell>
          <cell r="E180">
            <v>0</v>
          </cell>
          <cell r="F180">
            <v>0</v>
          </cell>
          <cell r="G180">
            <v>0</v>
          </cell>
          <cell r="H180">
            <v>0</v>
          </cell>
          <cell r="I180">
            <v>0</v>
          </cell>
          <cell r="J180">
            <v>52994.575654616274</v>
          </cell>
        </row>
        <row r="181">
          <cell r="A181">
            <v>164</v>
          </cell>
          <cell r="B181">
            <v>46296</v>
          </cell>
          <cell r="C181">
            <v>0</v>
          </cell>
          <cell r="D181">
            <v>2876.7965825806332</v>
          </cell>
          <cell r="E181">
            <v>0</v>
          </cell>
          <cell r="F181">
            <v>0</v>
          </cell>
          <cell r="G181">
            <v>0</v>
          </cell>
          <cell r="H181">
            <v>0</v>
          </cell>
          <cell r="I181">
            <v>0</v>
          </cell>
          <cell r="J181">
            <v>52994.575654616274</v>
          </cell>
        </row>
        <row r="182">
          <cell r="A182">
            <v>165</v>
          </cell>
          <cell r="B182">
            <v>46327</v>
          </cell>
          <cell r="C182">
            <v>0</v>
          </cell>
          <cell r="D182">
            <v>2876.7965825806332</v>
          </cell>
          <cell r="E182">
            <v>0</v>
          </cell>
          <cell r="F182">
            <v>0</v>
          </cell>
          <cell r="G182">
            <v>0</v>
          </cell>
          <cell r="H182">
            <v>0</v>
          </cell>
          <cell r="I182">
            <v>0</v>
          </cell>
          <cell r="J182">
            <v>52994.575654616274</v>
          </cell>
        </row>
        <row r="183">
          <cell r="A183">
            <v>166</v>
          </cell>
          <cell r="B183">
            <v>46357</v>
          </cell>
          <cell r="C183">
            <v>0</v>
          </cell>
          <cell r="D183">
            <v>2876.7965825806332</v>
          </cell>
          <cell r="E183">
            <v>0</v>
          </cell>
          <cell r="F183">
            <v>0</v>
          </cell>
          <cell r="G183">
            <v>0</v>
          </cell>
          <cell r="H183">
            <v>0</v>
          </cell>
          <cell r="I183">
            <v>0</v>
          </cell>
          <cell r="J183">
            <v>52994.575654616274</v>
          </cell>
        </row>
        <row r="184">
          <cell r="A184">
            <v>167</v>
          </cell>
          <cell r="B184">
            <v>46388</v>
          </cell>
          <cell r="C184">
            <v>0</v>
          </cell>
          <cell r="D184">
            <v>2876.7965825806332</v>
          </cell>
          <cell r="E184">
            <v>0</v>
          </cell>
          <cell r="F184">
            <v>0</v>
          </cell>
          <cell r="G184">
            <v>0</v>
          </cell>
          <cell r="H184">
            <v>0</v>
          </cell>
          <cell r="I184">
            <v>0</v>
          </cell>
          <cell r="J184">
            <v>52994.575654616274</v>
          </cell>
        </row>
        <row r="185">
          <cell r="A185">
            <v>168</v>
          </cell>
          <cell r="B185">
            <v>46419</v>
          </cell>
          <cell r="C185">
            <v>0</v>
          </cell>
          <cell r="D185">
            <v>2876.7965825806332</v>
          </cell>
          <cell r="E185">
            <v>0</v>
          </cell>
          <cell r="F185">
            <v>0</v>
          </cell>
          <cell r="G185">
            <v>0</v>
          </cell>
          <cell r="H185">
            <v>0</v>
          </cell>
          <cell r="I185">
            <v>0</v>
          </cell>
          <cell r="J185">
            <v>52994.575654616274</v>
          </cell>
        </row>
        <row r="186">
          <cell r="A186">
            <v>169</v>
          </cell>
          <cell r="B186">
            <v>46447</v>
          </cell>
          <cell r="C186">
            <v>0</v>
          </cell>
          <cell r="D186">
            <v>2876.7965825806332</v>
          </cell>
          <cell r="E186">
            <v>0</v>
          </cell>
          <cell r="F186">
            <v>0</v>
          </cell>
          <cell r="G186">
            <v>0</v>
          </cell>
          <cell r="H186">
            <v>0</v>
          </cell>
          <cell r="I186">
            <v>0</v>
          </cell>
          <cell r="J186">
            <v>52994.575654616274</v>
          </cell>
        </row>
        <row r="187">
          <cell r="A187">
            <v>170</v>
          </cell>
          <cell r="B187">
            <v>46478</v>
          </cell>
          <cell r="C187">
            <v>0</v>
          </cell>
          <cell r="D187">
            <v>2876.7965825806332</v>
          </cell>
          <cell r="E187">
            <v>0</v>
          </cell>
          <cell r="F187">
            <v>0</v>
          </cell>
          <cell r="G187">
            <v>0</v>
          </cell>
          <cell r="H187">
            <v>0</v>
          </cell>
          <cell r="I187">
            <v>0</v>
          </cell>
          <cell r="J187">
            <v>52994.575654616274</v>
          </cell>
        </row>
        <row r="188">
          <cell r="A188">
            <v>171</v>
          </cell>
          <cell r="B188">
            <v>46508</v>
          </cell>
          <cell r="C188">
            <v>0</v>
          </cell>
          <cell r="D188">
            <v>2876.7965825806332</v>
          </cell>
          <cell r="E188">
            <v>0</v>
          </cell>
          <cell r="F188">
            <v>0</v>
          </cell>
          <cell r="G188">
            <v>0</v>
          </cell>
          <cell r="H188">
            <v>0</v>
          </cell>
          <cell r="I188">
            <v>0</v>
          </cell>
          <cell r="J188">
            <v>52994.575654616274</v>
          </cell>
        </row>
        <row r="189">
          <cell r="A189">
            <v>172</v>
          </cell>
          <cell r="B189">
            <v>46539</v>
          </cell>
          <cell r="C189">
            <v>0</v>
          </cell>
          <cell r="D189">
            <v>2876.7965825806332</v>
          </cell>
          <cell r="E189">
            <v>0</v>
          </cell>
          <cell r="F189">
            <v>0</v>
          </cell>
          <cell r="G189">
            <v>0</v>
          </cell>
          <cell r="H189">
            <v>0</v>
          </cell>
          <cell r="I189">
            <v>0</v>
          </cell>
          <cell r="J189">
            <v>52994.575654616274</v>
          </cell>
        </row>
        <row r="190">
          <cell r="A190">
            <v>173</v>
          </cell>
          <cell r="B190">
            <v>46569</v>
          </cell>
          <cell r="C190">
            <v>0</v>
          </cell>
          <cell r="D190">
            <v>2876.7965825806332</v>
          </cell>
          <cell r="E190">
            <v>0</v>
          </cell>
          <cell r="F190">
            <v>0</v>
          </cell>
          <cell r="G190">
            <v>0</v>
          </cell>
          <cell r="H190">
            <v>0</v>
          </cell>
          <cell r="I190">
            <v>0</v>
          </cell>
          <cell r="J190">
            <v>52994.575654616274</v>
          </cell>
        </row>
        <row r="191">
          <cell r="A191">
            <v>174</v>
          </cell>
          <cell r="B191">
            <v>46600</v>
          </cell>
          <cell r="C191">
            <v>0</v>
          </cell>
          <cell r="D191">
            <v>2876.7965825806332</v>
          </cell>
          <cell r="E191">
            <v>0</v>
          </cell>
          <cell r="F191">
            <v>0</v>
          </cell>
          <cell r="G191">
            <v>0</v>
          </cell>
          <cell r="H191">
            <v>0</v>
          </cell>
          <cell r="I191">
            <v>0</v>
          </cell>
          <cell r="J191">
            <v>52994.575654616274</v>
          </cell>
        </row>
        <row r="192">
          <cell r="A192">
            <v>175</v>
          </cell>
          <cell r="B192">
            <v>46631</v>
          </cell>
          <cell r="C192">
            <v>0</v>
          </cell>
          <cell r="D192">
            <v>2876.7965825806332</v>
          </cell>
          <cell r="E192">
            <v>0</v>
          </cell>
          <cell r="F192">
            <v>0</v>
          </cell>
          <cell r="G192">
            <v>0</v>
          </cell>
          <cell r="H192">
            <v>0</v>
          </cell>
          <cell r="I192">
            <v>0</v>
          </cell>
          <cell r="J192">
            <v>52994.575654616274</v>
          </cell>
        </row>
        <row r="193">
          <cell r="A193">
            <v>176</v>
          </cell>
          <cell r="B193">
            <v>46661</v>
          </cell>
          <cell r="C193">
            <v>0</v>
          </cell>
          <cell r="D193">
            <v>2876.7965825806332</v>
          </cell>
          <cell r="E193">
            <v>0</v>
          </cell>
          <cell r="F193">
            <v>0</v>
          </cell>
          <cell r="G193">
            <v>0</v>
          </cell>
          <cell r="H193">
            <v>0</v>
          </cell>
          <cell r="I193">
            <v>0</v>
          </cell>
          <cell r="J193">
            <v>52994.575654616274</v>
          </cell>
        </row>
        <row r="194">
          <cell r="A194">
            <v>177</v>
          </cell>
          <cell r="B194">
            <v>46692</v>
          </cell>
          <cell r="C194">
            <v>0</v>
          </cell>
          <cell r="D194">
            <v>2876.7965825806332</v>
          </cell>
          <cell r="E194">
            <v>0</v>
          </cell>
          <cell r="F194">
            <v>0</v>
          </cell>
          <cell r="G194">
            <v>0</v>
          </cell>
          <cell r="H194">
            <v>0</v>
          </cell>
          <cell r="I194">
            <v>0</v>
          </cell>
          <cell r="J194">
            <v>52994.575654616274</v>
          </cell>
        </row>
        <row r="195">
          <cell r="A195">
            <v>178</v>
          </cell>
          <cell r="B195">
            <v>46722</v>
          </cell>
          <cell r="C195">
            <v>0</v>
          </cell>
          <cell r="D195">
            <v>2876.7965825806332</v>
          </cell>
          <cell r="E195">
            <v>0</v>
          </cell>
          <cell r="F195">
            <v>0</v>
          </cell>
          <cell r="G195">
            <v>0</v>
          </cell>
          <cell r="H195">
            <v>0</v>
          </cell>
          <cell r="I195">
            <v>0</v>
          </cell>
          <cell r="J195">
            <v>52994.575654616274</v>
          </cell>
        </row>
        <row r="196">
          <cell r="A196">
            <v>179</v>
          </cell>
          <cell r="B196">
            <v>46753</v>
          </cell>
          <cell r="C196">
            <v>0</v>
          </cell>
          <cell r="D196">
            <v>2876.7965825806332</v>
          </cell>
          <cell r="E196">
            <v>0</v>
          </cell>
          <cell r="F196">
            <v>0</v>
          </cell>
          <cell r="G196">
            <v>0</v>
          </cell>
          <cell r="H196">
            <v>0</v>
          </cell>
          <cell r="I196">
            <v>0</v>
          </cell>
          <cell r="J196">
            <v>52994.575654616274</v>
          </cell>
        </row>
        <row r="197">
          <cell r="A197">
            <v>180</v>
          </cell>
          <cell r="B197">
            <v>46784</v>
          </cell>
          <cell r="C197">
            <v>0</v>
          </cell>
          <cell r="D197">
            <v>2876.7965825806332</v>
          </cell>
          <cell r="E197">
            <v>0</v>
          </cell>
          <cell r="F197">
            <v>0</v>
          </cell>
          <cell r="G197">
            <v>0</v>
          </cell>
          <cell r="H197">
            <v>0</v>
          </cell>
          <cell r="I197">
            <v>0</v>
          </cell>
          <cell r="J197">
            <v>52994.575654616274</v>
          </cell>
        </row>
        <row r="198">
          <cell r="A198">
            <v>181</v>
          </cell>
          <cell r="B198">
            <v>46813</v>
          </cell>
          <cell r="C198">
            <v>0</v>
          </cell>
          <cell r="D198">
            <v>2876.7965825806332</v>
          </cell>
          <cell r="E198">
            <v>0</v>
          </cell>
          <cell r="F198">
            <v>0</v>
          </cell>
          <cell r="G198">
            <v>0</v>
          </cell>
          <cell r="H198">
            <v>0</v>
          </cell>
          <cell r="I198">
            <v>0</v>
          </cell>
          <cell r="J198">
            <v>52994.575654616274</v>
          </cell>
        </row>
        <row r="199">
          <cell r="A199">
            <v>182</v>
          </cell>
          <cell r="B199">
            <v>46844</v>
          </cell>
          <cell r="C199">
            <v>0</v>
          </cell>
          <cell r="D199">
            <v>2876.7965825806332</v>
          </cell>
          <cell r="E199">
            <v>0</v>
          </cell>
          <cell r="F199">
            <v>0</v>
          </cell>
          <cell r="G199">
            <v>0</v>
          </cell>
          <cell r="H199">
            <v>0</v>
          </cell>
          <cell r="I199">
            <v>0</v>
          </cell>
          <cell r="J199">
            <v>52994.575654616274</v>
          </cell>
        </row>
        <row r="200">
          <cell r="A200">
            <v>183</v>
          </cell>
          <cell r="B200">
            <v>46874</v>
          </cell>
          <cell r="C200">
            <v>0</v>
          </cell>
          <cell r="D200">
            <v>2876.7965825806332</v>
          </cell>
          <cell r="E200">
            <v>0</v>
          </cell>
          <cell r="F200">
            <v>0</v>
          </cell>
          <cell r="G200">
            <v>0</v>
          </cell>
          <cell r="H200">
            <v>0</v>
          </cell>
          <cell r="I200">
            <v>0</v>
          </cell>
          <cell r="J200">
            <v>52994.575654616274</v>
          </cell>
        </row>
        <row r="201">
          <cell r="A201">
            <v>184</v>
          </cell>
          <cell r="B201">
            <v>46905</v>
          </cell>
          <cell r="C201">
            <v>0</v>
          </cell>
          <cell r="D201">
            <v>2876.7965825806332</v>
          </cell>
          <cell r="E201">
            <v>0</v>
          </cell>
          <cell r="F201">
            <v>0</v>
          </cell>
          <cell r="G201">
            <v>0</v>
          </cell>
          <cell r="H201">
            <v>0</v>
          </cell>
          <cell r="I201">
            <v>0</v>
          </cell>
          <cell r="J201">
            <v>52994.575654616274</v>
          </cell>
        </row>
        <row r="202">
          <cell r="A202">
            <v>185</v>
          </cell>
          <cell r="B202">
            <v>46935</v>
          </cell>
          <cell r="C202">
            <v>0</v>
          </cell>
          <cell r="D202">
            <v>2876.7965825806332</v>
          </cell>
          <cell r="E202">
            <v>0</v>
          </cell>
          <cell r="F202">
            <v>0</v>
          </cell>
          <cell r="G202">
            <v>0</v>
          </cell>
          <cell r="H202">
            <v>0</v>
          </cell>
          <cell r="I202">
            <v>0</v>
          </cell>
          <cell r="J202">
            <v>52994.575654616274</v>
          </cell>
        </row>
        <row r="203">
          <cell r="A203">
            <v>186</v>
          </cell>
          <cell r="B203">
            <v>46966</v>
          </cell>
          <cell r="C203">
            <v>0</v>
          </cell>
          <cell r="D203">
            <v>2876.7965825806332</v>
          </cell>
          <cell r="E203">
            <v>0</v>
          </cell>
          <cell r="F203">
            <v>0</v>
          </cell>
          <cell r="G203">
            <v>0</v>
          </cell>
          <cell r="H203">
            <v>0</v>
          </cell>
          <cell r="I203">
            <v>0</v>
          </cell>
          <cell r="J203">
            <v>52994.575654616274</v>
          </cell>
        </row>
        <row r="204">
          <cell r="A204">
            <v>187</v>
          </cell>
          <cell r="B204">
            <v>46997</v>
          </cell>
          <cell r="C204">
            <v>0</v>
          </cell>
          <cell r="D204">
            <v>2876.7965825806332</v>
          </cell>
          <cell r="E204">
            <v>0</v>
          </cell>
          <cell r="F204">
            <v>0</v>
          </cell>
          <cell r="G204">
            <v>0</v>
          </cell>
          <cell r="H204">
            <v>0</v>
          </cell>
          <cell r="I204">
            <v>0</v>
          </cell>
          <cell r="J204">
            <v>52994.575654616274</v>
          </cell>
        </row>
        <row r="205">
          <cell r="A205">
            <v>188</v>
          </cell>
          <cell r="B205">
            <v>47027</v>
          </cell>
          <cell r="C205">
            <v>0</v>
          </cell>
          <cell r="D205">
            <v>2876.7965825806332</v>
          </cell>
          <cell r="E205">
            <v>0</v>
          </cell>
          <cell r="F205">
            <v>0</v>
          </cell>
          <cell r="G205">
            <v>0</v>
          </cell>
          <cell r="H205">
            <v>0</v>
          </cell>
          <cell r="I205">
            <v>0</v>
          </cell>
          <cell r="J205">
            <v>52994.575654616274</v>
          </cell>
        </row>
        <row r="206">
          <cell r="A206">
            <v>189</v>
          </cell>
          <cell r="B206">
            <v>47058</v>
          </cell>
          <cell r="C206">
            <v>0</v>
          </cell>
          <cell r="D206">
            <v>2876.7965825806332</v>
          </cell>
          <cell r="E206">
            <v>0</v>
          </cell>
          <cell r="F206">
            <v>0</v>
          </cell>
          <cell r="G206">
            <v>0</v>
          </cell>
          <cell r="H206">
            <v>0</v>
          </cell>
          <cell r="I206">
            <v>0</v>
          </cell>
          <cell r="J206">
            <v>52994.575654616274</v>
          </cell>
        </row>
        <row r="207">
          <cell r="A207">
            <v>190</v>
          </cell>
          <cell r="B207">
            <v>47088</v>
          </cell>
          <cell r="C207">
            <v>0</v>
          </cell>
          <cell r="D207">
            <v>2876.7965825806332</v>
          </cell>
          <cell r="E207">
            <v>0</v>
          </cell>
          <cell r="F207">
            <v>0</v>
          </cell>
          <cell r="G207">
            <v>0</v>
          </cell>
          <cell r="H207">
            <v>0</v>
          </cell>
          <cell r="I207">
            <v>0</v>
          </cell>
          <cell r="J207">
            <v>52994.575654616274</v>
          </cell>
        </row>
        <row r="208">
          <cell r="A208">
            <v>191</v>
          </cell>
          <cell r="B208">
            <v>47119</v>
          </cell>
          <cell r="C208">
            <v>0</v>
          </cell>
          <cell r="D208">
            <v>2876.7965825806332</v>
          </cell>
          <cell r="E208">
            <v>0</v>
          </cell>
          <cell r="F208">
            <v>0</v>
          </cell>
          <cell r="G208">
            <v>0</v>
          </cell>
          <cell r="H208">
            <v>0</v>
          </cell>
          <cell r="I208">
            <v>0</v>
          </cell>
          <cell r="J208">
            <v>52994.575654616274</v>
          </cell>
        </row>
        <row r="209">
          <cell r="A209">
            <v>192</v>
          </cell>
          <cell r="B209">
            <v>47150</v>
          </cell>
          <cell r="C209">
            <v>0</v>
          </cell>
          <cell r="D209">
            <v>2876.7965825806332</v>
          </cell>
          <cell r="E209">
            <v>0</v>
          </cell>
          <cell r="F209">
            <v>0</v>
          </cell>
          <cell r="G209">
            <v>0</v>
          </cell>
          <cell r="H209">
            <v>0</v>
          </cell>
          <cell r="I209">
            <v>0</v>
          </cell>
          <cell r="J209">
            <v>52994.575654616274</v>
          </cell>
        </row>
        <row r="210">
          <cell r="A210">
            <v>193</v>
          </cell>
          <cell r="B210">
            <v>47178</v>
          </cell>
          <cell r="C210">
            <v>0</v>
          </cell>
          <cell r="D210">
            <v>2876.7965825806332</v>
          </cell>
          <cell r="E210">
            <v>0</v>
          </cell>
          <cell r="F210">
            <v>0</v>
          </cell>
          <cell r="G210">
            <v>0</v>
          </cell>
          <cell r="H210">
            <v>0</v>
          </cell>
          <cell r="I210">
            <v>0</v>
          </cell>
          <cell r="J210">
            <v>52994.575654616274</v>
          </cell>
        </row>
        <row r="211">
          <cell r="A211">
            <v>194</v>
          </cell>
          <cell r="B211">
            <v>47209</v>
          </cell>
          <cell r="C211">
            <v>0</v>
          </cell>
          <cell r="D211">
            <v>2876.7965825806332</v>
          </cell>
          <cell r="E211">
            <v>0</v>
          </cell>
          <cell r="F211">
            <v>0</v>
          </cell>
          <cell r="G211">
            <v>0</v>
          </cell>
          <cell r="H211">
            <v>0</v>
          </cell>
          <cell r="I211">
            <v>0</v>
          </cell>
          <cell r="J211">
            <v>52994.575654616274</v>
          </cell>
        </row>
        <row r="212">
          <cell r="A212">
            <v>195</v>
          </cell>
          <cell r="B212">
            <v>47239</v>
          </cell>
          <cell r="C212">
            <v>0</v>
          </cell>
          <cell r="D212">
            <v>2876.7965825806332</v>
          </cell>
          <cell r="E212">
            <v>0</v>
          </cell>
          <cell r="F212">
            <v>0</v>
          </cell>
          <cell r="G212">
            <v>0</v>
          </cell>
          <cell r="H212">
            <v>0</v>
          </cell>
          <cell r="I212">
            <v>0</v>
          </cell>
          <cell r="J212">
            <v>52994.575654616274</v>
          </cell>
        </row>
        <row r="213">
          <cell r="A213">
            <v>196</v>
          </cell>
          <cell r="B213">
            <v>47270</v>
          </cell>
          <cell r="C213">
            <v>0</v>
          </cell>
          <cell r="D213">
            <v>2876.7965825806332</v>
          </cell>
          <cell r="E213">
            <v>0</v>
          </cell>
          <cell r="F213">
            <v>0</v>
          </cell>
          <cell r="G213">
            <v>0</v>
          </cell>
          <cell r="H213">
            <v>0</v>
          </cell>
          <cell r="I213">
            <v>0</v>
          </cell>
          <cell r="J213">
            <v>52994.575654616274</v>
          </cell>
        </row>
        <row r="214">
          <cell r="A214">
            <v>197</v>
          </cell>
          <cell r="B214">
            <v>47300</v>
          </cell>
          <cell r="C214">
            <v>0</v>
          </cell>
          <cell r="D214">
            <v>2876.7965825806332</v>
          </cell>
          <cell r="E214">
            <v>0</v>
          </cell>
          <cell r="F214">
            <v>0</v>
          </cell>
          <cell r="G214">
            <v>0</v>
          </cell>
          <cell r="H214">
            <v>0</v>
          </cell>
          <cell r="I214">
            <v>0</v>
          </cell>
          <cell r="J214">
            <v>52994.575654616274</v>
          </cell>
        </row>
        <row r="215">
          <cell r="A215">
            <v>198</v>
          </cell>
          <cell r="B215">
            <v>47331</v>
          </cell>
          <cell r="C215">
            <v>0</v>
          </cell>
          <cell r="D215">
            <v>2876.7965825806332</v>
          </cell>
          <cell r="E215">
            <v>0</v>
          </cell>
          <cell r="F215">
            <v>0</v>
          </cell>
          <cell r="G215">
            <v>0</v>
          </cell>
          <cell r="H215">
            <v>0</v>
          </cell>
          <cell r="I215">
            <v>0</v>
          </cell>
          <cell r="J215">
            <v>52994.575654616274</v>
          </cell>
        </row>
        <row r="216">
          <cell r="A216">
            <v>199</v>
          </cell>
          <cell r="B216">
            <v>47362</v>
          </cell>
          <cell r="C216">
            <v>0</v>
          </cell>
          <cell r="D216">
            <v>2876.7965825806332</v>
          </cell>
          <cell r="E216">
            <v>0</v>
          </cell>
          <cell r="F216">
            <v>0</v>
          </cell>
          <cell r="G216">
            <v>0</v>
          </cell>
          <cell r="H216">
            <v>0</v>
          </cell>
          <cell r="I216">
            <v>0</v>
          </cell>
          <cell r="J216">
            <v>52994.575654616274</v>
          </cell>
        </row>
        <row r="217">
          <cell r="A217">
            <v>200</v>
          </cell>
          <cell r="B217">
            <v>47392</v>
          </cell>
          <cell r="C217">
            <v>0</v>
          </cell>
          <cell r="D217">
            <v>2876.7965825806332</v>
          </cell>
          <cell r="E217">
            <v>0</v>
          </cell>
          <cell r="F217">
            <v>0</v>
          </cell>
          <cell r="G217">
            <v>0</v>
          </cell>
          <cell r="H217">
            <v>0</v>
          </cell>
          <cell r="I217">
            <v>0</v>
          </cell>
          <cell r="J217">
            <v>52994.575654616274</v>
          </cell>
        </row>
        <row r="218">
          <cell r="A218">
            <v>201</v>
          </cell>
          <cell r="B218">
            <v>47423</v>
          </cell>
          <cell r="C218">
            <v>0</v>
          </cell>
          <cell r="D218">
            <v>2876.7965825806332</v>
          </cell>
          <cell r="E218">
            <v>0</v>
          </cell>
          <cell r="F218">
            <v>0</v>
          </cell>
          <cell r="G218">
            <v>0</v>
          </cell>
          <cell r="H218">
            <v>0</v>
          </cell>
          <cell r="I218">
            <v>0</v>
          </cell>
          <cell r="J218">
            <v>52994.575654616274</v>
          </cell>
        </row>
        <row r="219">
          <cell r="A219">
            <v>202</v>
          </cell>
          <cell r="B219">
            <v>47453</v>
          </cell>
          <cell r="C219">
            <v>0</v>
          </cell>
          <cell r="D219">
            <v>2876.7965825806332</v>
          </cell>
          <cell r="E219">
            <v>0</v>
          </cell>
          <cell r="F219">
            <v>0</v>
          </cell>
          <cell r="G219">
            <v>0</v>
          </cell>
          <cell r="H219">
            <v>0</v>
          </cell>
          <cell r="I219">
            <v>0</v>
          </cell>
          <cell r="J219">
            <v>52994.575654616274</v>
          </cell>
        </row>
        <row r="220">
          <cell r="A220">
            <v>203</v>
          </cell>
          <cell r="B220">
            <v>47484</v>
          </cell>
          <cell r="C220">
            <v>0</v>
          </cell>
          <cell r="D220">
            <v>2876.7965825806332</v>
          </cell>
          <cell r="E220">
            <v>0</v>
          </cell>
          <cell r="F220">
            <v>0</v>
          </cell>
          <cell r="G220">
            <v>0</v>
          </cell>
          <cell r="H220">
            <v>0</v>
          </cell>
          <cell r="I220">
            <v>0</v>
          </cell>
          <cell r="J220">
            <v>52994.575654616274</v>
          </cell>
        </row>
        <row r="221">
          <cell r="A221">
            <v>204</v>
          </cell>
          <cell r="B221">
            <v>47515</v>
          </cell>
          <cell r="C221">
            <v>0</v>
          </cell>
          <cell r="D221">
            <v>2876.7965825806332</v>
          </cell>
          <cell r="E221">
            <v>0</v>
          </cell>
          <cell r="F221">
            <v>0</v>
          </cell>
          <cell r="G221">
            <v>0</v>
          </cell>
          <cell r="H221">
            <v>0</v>
          </cell>
          <cell r="I221">
            <v>0</v>
          </cell>
          <cell r="J221">
            <v>52994.575654616274</v>
          </cell>
        </row>
        <row r="222">
          <cell r="A222">
            <v>205</v>
          </cell>
          <cell r="B222">
            <v>47543</v>
          </cell>
          <cell r="C222">
            <v>0</v>
          </cell>
          <cell r="D222">
            <v>2876.7965825806332</v>
          </cell>
          <cell r="E222">
            <v>0</v>
          </cell>
          <cell r="F222">
            <v>0</v>
          </cell>
          <cell r="G222">
            <v>0</v>
          </cell>
          <cell r="H222">
            <v>0</v>
          </cell>
          <cell r="I222">
            <v>0</v>
          </cell>
          <cell r="J222">
            <v>52994.575654616274</v>
          </cell>
        </row>
        <row r="223">
          <cell r="A223">
            <v>206</v>
          </cell>
          <cell r="B223">
            <v>47574</v>
          </cell>
          <cell r="C223">
            <v>0</v>
          </cell>
          <cell r="D223">
            <v>2876.7965825806332</v>
          </cell>
          <cell r="E223">
            <v>0</v>
          </cell>
          <cell r="F223">
            <v>0</v>
          </cell>
          <cell r="G223">
            <v>0</v>
          </cell>
          <cell r="H223">
            <v>0</v>
          </cell>
          <cell r="I223">
            <v>0</v>
          </cell>
          <cell r="J223">
            <v>52994.575654616274</v>
          </cell>
        </row>
        <row r="224">
          <cell r="A224">
            <v>207</v>
          </cell>
          <cell r="B224">
            <v>47604</v>
          </cell>
          <cell r="C224">
            <v>0</v>
          </cell>
          <cell r="D224">
            <v>2876.7965825806332</v>
          </cell>
          <cell r="E224">
            <v>0</v>
          </cell>
          <cell r="F224">
            <v>0</v>
          </cell>
          <cell r="G224">
            <v>0</v>
          </cell>
          <cell r="H224">
            <v>0</v>
          </cell>
          <cell r="I224">
            <v>0</v>
          </cell>
          <cell r="J224">
            <v>52994.575654616274</v>
          </cell>
        </row>
        <row r="225">
          <cell r="A225">
            <v>208</v>
          </cell>
          <cell r="B225">
            <v>47635</v>
          </cell>
          <cell r="C225">
            <v>0</v>
          </cell>
          <cell r="D225">
            <v>2876.7965825806332</v>
          </cell>
          <cell r="E225">
            <v>0</v>
          </cell>
          <cell r="F225">
            <v>0</v>
          </cell>
          <cell r="G225">
            <v>0</v>
          </cell>
          <cell r="H225">
            <v>0</v>
          </cell>
          <cell r="I225">
            <v>0</v>
          </cell>
          <cell r="J225">
            <v>52994.575654616274</v>
          </cell>
        </row>
        <row r="226">
          <cell r="A226">
            <v>209</v>
          </cell>
          <cell r="B226">
            <v>47665</v>
          </cell>
          <cell r="C226">
            <v>0</v>
          </cell>
          <cell r="D226">
            <v>2876.7965825806332</v>
          </cell>
          <cell r="E226">
            <v>0</v>
          </cell>
          <cell r="F226">
            <v>0</v>
          </cell>
          <cell r="G226">
            <v>0</v>
          </cell>
          <cell r="H226">
            <v>0</v>
          </cell>
          <cell r="I226">
            <v>0</v>
          </cell>
          <cell r="J226">
            <v>52994.575654616274</v>
          </cell>
        </row>
        <row r="227">
          <cell r="A227">
            <v>210</v>
          </cell>
          <cell r="B227">
            <v>47696</v>
          </cell>
          <cell r="C227">
            <v>0</v>
          </cell>
          <cell r="D227">
            <v>2876.7965825806332</v>
          </cell>
          <cell r="E227">
            <v>0</v>
          </cell>
          <cell r="F227">
            <v>0</v>
          </cell>
          <cell r="G227">
            <v>0</v>
          </cell>
          <cell r="H227">
            <v>0</v>
          </cell>
          <cell r="I227">
            <v>0</v>
          </cell>
          <cell r="J227">
            <v>52994.575654616274</v>
          </cell>
        </row>
        <row r="228">
          <cell r="A228">
            <v>211</v>
          </cell>
          <cell r="B228">
            <v>47727</v>
          </cell>
          <cell r="C228">
            <v>0</v>
          </cell>
          <cell r="D228">
            <v>2876.7965825806332</v>
          </cell>
          <cell r="E228">
            <v>0</v>
          </cell>
          <cell r="F228">
            <v>0</v>
          </cell>
          <cell r="G228">
            <v>0</v>
          </cell>
          <cell r="H228">
            <v>0</v>
          </cell>
          <cell r="I228">
            <v>0</v>
          </cell>
          <cell r="J228">
            <v>52994.575654616274</v>
          </cell>
        </row>
        <row r="229">
          <cell r="A229">
            <v>212</v>
          </cell>
          <cell r="B229">
            <v>47757</v>
          </cell>
          <cell r="C229">
            <v>0</v>
          </cell>
          <cell r="D229">
            <v>2876.7965825806332</v>
          </cell>
          <cell r="E229">
            <v>0</v>
          </cell>
          <cell r="F229">
            <v>0</v>
          </cell>
          <cell r="G229">
            <v>0</v>
          </cell>
          <cell r="H229">
            <v>0</v>
          </cell>
          <cell r="I229">
            <v>0</v>
          </cell>
          <cell r="J229">
            <v>52994.575654616274</v>
          </cell>
        </row>
        <row r="230">
          <cell r="A230">
            <v>213</v>
          </cell>
          <cell r="B230">
            <v>47788</v>
          </cell>
          <cell r="C230">
            <v>0</v>
          </cell>
          <cell r="D230">
            <v>2876.7965825806332</v>
          </cell>
          <cell r="E230">
            <v>0</v>
          </cell>
          <cell r="F230">
            <v>0</v>
          </cell>
          <cell r="G230">
            <v>0</v>
          </cell>
          <cell r="H230">
            <v>0</v>
          </cell>
          <cell r="I230">
            <v>0</v>
          </cell>
          <cell r="J230">
            <v>52994.575654616274</v>
          </cell>
        </row>
        <row r="231">
          <cell r="A231">
            <v>214</v>
          </cell>
          <cell r="B231">
            <v>47818</v>
          </cell>
          <cell r="C231">
            <v>0</v>
          </cell>
          <cell r="D231">
            <v>2876.7965825806332</v>
          </cell>
          <cell r="E231">
            <v>0</v>
          </cell>
          <cell r="F231">
            <v>0</v>
          </cell>
          <cell r="G231">
            <v>0</v>
          </cell>
          <cell r="H231">
            <v>0</v>
          </cell>
          <cell r="I231">
            <v>0</v>
          </cell>
          <cell r="J231">
            <v>52994.575654616274</v>
          </cell>
        </row>
        <row r="232">
          <cell r="A232">
            <v>215</v>
          </cell>
          <cell r="B232">
            <v>47849</v>
          </cell>
          <cell r="C232">
            <v>0</v>
          </cell>
          <cell r="D232">
            <v>2876.7965825806332</v>
          </cell>
          <cell r="E232">
            <v>0</v>
          </cell>
          <cell r="F232">
            <v>0</v>
          </cell>
          <cell r="G232">
            <v>0</v>
          </cell>
          <cell r="H232">
            <v>0</v>
          </cell>
          <cell r="I232">
            <v>0</v>
          </cell>
          <cell r="J232">
            <v>52994.575654616274</v>
          </cell>
        </row>
        <row r="233">
          <cell r="A233">
            <v>216</v>
          </cell>
          <cell r="B233">
            <v>47880</v>
          </cell>
          <cell r="C233">
            <v>0</v>
          </cell>
          <cell r="D233">
            <v>2876.7965825806332</v>
          </cell>
          <cell r="E233">
            <v>0</v>
          </cell>
          <cell r="F233">
            <v>0</v>
          </cell>
          <cell r="G233">
            <v>0</v>
          </cell>
          <cell r="H233">
            <v>0</v>
          </cell>
          <cell r="I233">
            <v>0</v>
          </cell>
          <cell r="J233">
            <v>52994.575654616274</v>
          </cell>
        </row>
        <row r="234">
          <cell r="A234">
            <v>217</v>
          </cell>
          <cell r="B234">
            <v>47908</v>
          </cell>
          <cell r="C234">
            <v>0</v>
          </cell>
          <cell r="D234">
            <v>2876.7965825806332</v>
          </cell>
          <cell r="E234">
            <v>0</v>
          </cell>
          <cell r="F234">
            <v>0</v>
          </cell>
          <cell r="G234">
            <v>0</v>
          </cell>
          <cell r="H234">
            <v>0</v>
          </cell>
          <cell r="I234">
            <v>0</v>
          </cell>
          <cell r="J234">
            <v>52994.575654616274</v>
          </cell>
        </row>
        <row r="235">
          <cell r="A235">
            <v>218</v>
          </cell>
          <cell r="B235">
            <v>47939</v>
          </cell>
          <cell r="C235">
            <v>0</v>
          </cell>
          <cell r="D235">
            <v>2876.7965825806332</v>
          </cell>
          <cell r="E235">
            <v>0</v>
          </cell>
          <cell r="F235">
            <v>0</v>
          </cell>
          <cell r="G235">
            <v>0</v>
          </cell>
          <cell r="H235">
            <v>0</v>
          </cell>
          <cell r="I235">
            <v>0</v>
          </cell>
          <cell r="J235">
            <v>52994.575654616274</v>
          </cell>
        </row>
        <row r="236">
          <cell r="A236">
            <v>219</v>
          </cell>
          <cell r="B236">
            <v>47969</v>
          </cell>
          <cell r="C236">
            <v>0</v>
          </cell>
          <cell r="D236">
            <v>2876.7965825806332</v>
          </cell>
          <cell r="E236">
            <v>0</v>
          </cell>
          <cell r="F236">
            <v>0</v>
          </cell>
          <cell r="G236">
            <v>0</v>
          </cell>
          <cell r="H236">
            <v>0</v>
          </cell>
          <cell r="I236">
            <v>0</v>
          </cell>
          <cell r="J236">
            <v>52994.575654616274</v>
          </cell>
        </row>
        <row r="237">
          <cell r="A237">
            <v>220</v>
          </cell>
          <cell r="B237">
            <v>48000</v>
          </cell>
          <cell r="C237">
            <v>0</v>
          </cell>
          <cell r="D237">
            <v>2876.7965825806332</v>
          </cell>
          <cell r="E237">
            <v>0</v>
          </cell>
          <cell r="F237">
            <v>0</v>
          </cell>
          <cell r="G237">
            <v>0</v>
          </cell>
          <cell r="H237">
            <v>0</v>
          </cell>
          <cell r="I237">
            <v>0</v>
          </cell>
          <cell r="J237">
            <v>52994.575654616274</v>
          </cell>
        </row>
        <row r="238">
          <cell r="A238">
            <v>221</v>
          </cell>
          <cell r="B238">
            <v>48030</v>
          </cell>
          <cell r="C238">
            <v>0</v>
          </cell>
          <cell r="D238">
            <v>2876.7965825806332</v>
          </cell>
          <cell r="E238">
            <v>0</v>
          </cell>
          <cell r="F238">
            <v>0</v>
          </cell>
          <cell r="G238">
            <v>0</v>
          </cell>
          <cell r="H238">
            <v>0</v>
          </cell>
          <cell r="I238">
            <v>0</v>
          </cell>
          <cell r="J238">
            <v>52994.575654616274</v>
          </cell>
        </row>
        <row r="239">
          <cell r="A239">
            <v>222</v>
          </cell>
          <cell r="B239">
            <v>48061</v>
          </cell>
          <cell r="C239">
            <v>0</v>
          </cell>
          <cell r="D239">
            <v>2876.7965825806332</v>
          </cell>
          <cell r="E239">
            <v>0</v>
          </cell>
          <cell r="F239">
            <v>0</v>
          </cell>
          <cell r="G239">
            <v>0</v>
          </cell>
          <cell r="H239">
            <v>0</v>
          </cell>
          <cell r="I239">
            <v>0</v>
          </cell>
          <cell r="J239">
            <v>52994.575654616274</v>
          </cell>
        </row>
        <row r="240">
          <cell r="A240">
            <v>223</v>
          </cell>
          <cell r="B240">
            <v>48092</v>
          </cell>
          <cell r="C240">
            <v>0</v>
          </cell>
          <cell r="D240">
            <v>2876.7965825806332</v>
          </cell>
          <cell r="E240">
            <v>0</v>
          </cell>
          <cell r="F240">
            <v>0</v>
          </cell>
          <cell r="G240">
            <v>0</v>
          </cell>
          <cell r="H240">
            <v>0</v>
          </cell>
          <cell r="I240">
            <v>0</v>
          </cell>
          <cell r="J240">
            <v>52994.575654616274</v>
          </cell>
        </row>
        <row r="241">
          <cell r="A241">
            <v>224</v>
          </cell>
          <cell r="B241">
            <v>48122</v>
          </cell>
          <cell r="C241">
            <v>0</v>
          </cell>
          <cell r="D241">
            <v>2876.7965825806332</v>
          </cell>
          <cell r="E241">
            <v>0</v>
          </cell>
          <cell r="F241">
            <v>0</v>
          </cell>
          <cell r="G241">
            <v>0</v>
          </cell>
          <cell r="H241">
            <v>0</v>
          </cell>
          <cell r="I241">
            <v>0</v>
          </cell>
          <cell r="J241">
            <v>52994.575654616274</v>
          </cell>
        </row>
        <row r="242">
          <cell r="A242">
            <v>225</v>
          </cell>
          <cell r="B242">
            <v>48153</v>
          </cell>
          <cell r="C242">
            <v>0</v>
          </cell>
          <cell r="D242">
            <v>2876.7965825806332</v>
          </cell>
          <cell r="E242">
            <v>0</v>
          </cell>
          <cell r="F242">
            <v>0</v>
          </cell>
          <cell r="G242">
            <v>0</v>
          </cell>
          <cell r="H242">
            <v>0</v>
          </cell>
          <cell r="I242">
            <v>0</v>
          </cell>
          <cell r="J242">
            <v>52994.575654616274</v>
          </cell>
        </row>
        <row r="243">
          <cell r="A243">
            <v>226</v>
          </cell>
          <cell r="B243">
            <v>48183</v>
          </cell>
          <cell r="C243">
            <v>0</v>
          </cell>
          <cell r="D243">
            <v>2876.7965825806332</v>
          </cell>
          <cell r="E243">
            <v>0</v>
          </cell>
          <cell r="F243">
            <v>0</v>
          </cell>
          <cell r="G243">
            <v>0</v>
          </cell>
          <cell r="H243">
            <v>0</v>
          </cell>
          <cell r="I243">
            <v>0</v>
          </cell>
          <cell r="J243">
            <v>52994.575654616274</v>
          </cell>
        </row>
        <row r="244">
          <cell r="A244">
            <v>227</v>
          </cell>
          <cell r="B244">
            <v>48214</v>
          </cell>
          <cell r="C244">
            <v>0</v>
          </cell>
          <cell r="D244">
            <v>2876.7965825806332</v>
          </cell>
          <cell r="E244">
            <v>0</v>
          </cell>
          <cell r="F244">
            <v>0</v>
          </cell>
          <cell r="G244">
            <v>0</v>
          </cell>
          <cell r="H244">
            <v>0</v>
          </cell>
          <cell r="I244">
            <v>0</v>
          </cell>
          <cell r="J244">
            <v>52994.575654616274</v>
          </cell>
        </row>
        <row r="245">
          <cell r="A245">
            <v>228</v>
          </cell>
          <cell r="B245">
            <v>48245</v>
          </cell>
          <cell r="C245">
            <v>0</v>
          </cell>
          <cell r="D245">
            <v>2876.7965825806332</v>
          </cell>
          <cell r="E245">
            <v>0</v>
          </cell>
          <cell r="F245">
            <v>0</v>
          </cell>
          <cell r="G245">
            <v>0</v>
          </cell>
          <cell r="H245">
            <v>0</v>
          </cell>
          <cell r="I245">
            <v>0</v>
          </cell>
          <cell r="J245">
            <v>52994.575654616274</v>
          </cell>
        </row>
        <row r="246">
          <cell r="A246">
            <v>229</v>
          </cell>
          <cell r="B246">
            <v>48274</v>
          </cell>
          <cell r="C246">
            <v>0</v>
          </cell>
          <cell r="D246">
            <v>2876.7965825806332</v>
          </cell>
          <cell r="E246">
            <v>0</v>
          </cell>
          <cell r="F246">
            <v>0</v>
          </cell>
          <cell r="G246">
            <v>0</v>
          </cell>
          <cell r="H246">
            <v>0</v>
          </cell>
          <cell r="I246">
            <v>0</v>
          </cell>
          <cell r="J246">
            <v>52994.575654616274</v>
          </cell>
        </row>
        <row r="247">
          <cell r="A247">
            <v>230</v>
          </cell>
          <cell r="B247">
            <v>48305</v>
          </cell>
          <cell r="C247">
            <v>0</v>
          </cell>
          <cell r="D247">
            <v>2876.7965825806332</v>
          </cell>
          <cell r="E247">
            <v>0</v>
          </cell>
          <cell r="F247">
            <v>0</v>
          </cell>
          <cell r="G247">
            <v>0</v>
          </cell>
          <cell r="H247">
            <v>0</v>
          </cell>
          <cell r="I247">
            <v>0</v>
          </cell>
          <cell r="J247">
            <v>52994.575654616274</v>
          </cell>
        </row>
        <row r="248">
          <cell r="A248">
            <v>231</v>
          </cell>
          <cell r="B248">
            <v>48335</v>
          </cell>
          <cell r="C248">
            <v>0</v>
          </cell>
          <cell r="D248">
            <v>2876.7965825806332</v>
          </cell>
          <cell r="E248">
            <v>0</v>
          </cell>
          <cell r="F248">
            <v>0</v>
          </cell>
          <cell r="G248">
            <v>0</v>
          </cell>
          <cell r="H248">
            <v>0</v>
          </cell>
          <cell r="I248">
            <v>0</v>
          </cell>
          <cell r="J248">
            <v>52994.575654616274</v>
          </cell>
        </row>
        <row r="249">
          <cell r="A249">
            <v>232</v>
          </cell>
          <cell r="B249">
            <v>48366</v>
          </cell>
          <cell r="C249">
            <v>0</v>
          </cell>
          <cell r="D249">
            <v>2876.7965825806332</v>
          </cell>
          <cell r="E249">
            <v>0</v>
          </cell>
          <cell r="F249">
            <v>0</v>
          </cell>
          <cell r="G249">
            <v>0</v>
          </cell>
          <cell r="H249">
            <v>0</v>
          </cell>
          <cell r="I249">
            <v>0</v>
          </cell>
          <cell r="J249">
            <v>52994.575654616274</v>
          </cell>
        </row>
        <row r="250">
          <cell r="A250">
            <v>233</v>
          </cell>
          <cell r="B250">
            <v>48396</v>
          </cell>
          <cell r="C250">
            <v>0</v>
          </cell>
          <cell r="D250">
            <v>2876.7965825806332</v>
          </cell>
          <cell r="E250">
            <v>0</v>
          </cell>
          <cell r="F250">
            <v>0</v>
          </cell>
          <cell r="G250">
            <v>0</v>
          </cell>
          <cell r="H250">
            <v>0</v>
          </cell>
          <cell r="I250">
            <v>0</v>
          </cell>
          <cell r="J250">
            <v>52994.575654616274</v>
          </cell>
        </row>
        <row r="251">
          <cell r="A251">
            <v>234</v>
          </cell>
          <cell r="B251">
            <v>48427</v>
          </cell>
          <cell r="C251">
            <v>0</v>
          </cell>
          <cell r="D251">
            <v>2876.7965825806332</v>
          </cell>
          <cell r="E251">
            <v>0</v>
          </cell>
          <cell r="F251">
            <v>0</v>
          </cell>
          <cell r="G251">
            <v>0</v>
          </cell>
          <cell r="H251">
            <v>0</v>
          </cell>
          <cell r="I251">
            <v>0</v>
          </cell>
          <cell r="J251">
            <v>52994.575654616274</v>
          </cell>
        </row>
        <row r="252">
          <cell r="A252">
            <v>235</v>
          </cell>
          <cell r="B252">
            <v>48458</v>
          </cell>
          <cell r="C252">
            <v>0</v>
          </cell>
          <cell r="D252">
            <v>2876.7965825806332</v>
          </cell>
          <cell r="E252">
            <v>0</v>
          </cell>
          <cell r="F252">
            <v>0</v>
          </cell>
          <cell r="G252">
            <v>0</v>
          </cell>
          <cell r="H252">
            <v>0</v>
          </cell>
          <cell r="I252">
            <v>0</v>
          </cell>
          <cell r="J252">
            <v>52994.575654616274</v>
          </cell>
        </row>
        <row r="253">
          <cell r="A253">
            <v>236</v>
          </cell>
          <cell r="B253">
            <v>48488</v>
          </cell>
          <cell r="C253">
            <v>0</v>
          </cell>
          <cell r="D253">
            <v>2876.7965825806332</v>
          </cell>
          <cell r="E253">
            <v>0</v>
          </cell>
          <cell r="F253">
            <v>0</v>
          </cell>
          <cell r="G253">
            <v>0</v>
          </cell>
          <cell r="H253">
            <v>0</v>
          </cell>
          <cell r="I253">
            <v>0</v>
          </cell>
          <cell r="J253">
            <v>52994.575654616274</v>
          </cell>
        </row>
        <row r="254">
          <cell r="A254">
            <v>237</v>
          </cell>
          <cell r="B254">
            <v>48519</v>
          </cell>
          <cell r="C254">
            <v>0</v>
          </cell>
          <cell r="D254">
            <v>2876.7965825806332</v>
          </cell>
          <cell r="E254">
            <v>0</v>
          </cell>
          <cell r="F254">
            <v>0</v>
          </cell>
          <cell r="G254">
            <v>0</v>
          </cell>
          <cell r="H254">
            <v>0</v>
          </cell>
          <cell r="I254">
            <v>0</v>
          </cell>
          <cell r="J254">
            <v>52994.575654616274</v>
          </cell>
        </row>
        <row r="255">
          <cell r="A255">
            <v>238</v>
          </cell>
          <cell r="B255">
            <v>48549</v>
          </cell>
          <cell r="C255">
            <v>0</v>
          </cell>
          <cell r="D255">
            <v>2876.7965825806332</v>
          </cell>
          <cell r="E255">
            <v>0</v>
          </cell>
          <cell r="F255">
            <v>0</v>
          </cell>
          <cell r="G255">
            <v>0</v>
          </cell>
          <cell r="H255">
            <v>0</v>
          </cell>
          <cell r="I255">
            <v>0</v>
          </cell>
          <cell r="J255">
            <v>52994.575654616274</v>
          </cell>
        </row>
        <row r="256">
          <cell r="A256">
            <v>239</v>
          </cell>
          <cell r="B256">
            <v>48580</v>
          </cell>
          <cell r="C256">
            <v>0</v>
          </cell>
          <cell r="D256">
            <v>2876.7965825806332</v>
          </cell>
          <cell r="E256">
            <v>0</v>
          </cell>
          <cell r="F256">
            <v>0</v>
          </cell>
          <cell r="G256">
            <v>0</v>
          </cell>
          <cell r="H256">
            <v>0</v>
          </cell>
          <cell r="I256">
            <v>0</v>
          </cell>
          <cell r="J256">
            <v>52994.575654616274</v>
          </cell>
        </row>
        <row r="257">
          <cell r="A257">
            <v>240</v>
          </cell>
          <cell r="B257">
            <v>48611</v>
          </cell>
          <cell r="C257">
            <v>0</v>
          </cell>
          <cell r="D257">
            <v>2876.7965825806332</v>
          </cell>
          <cell r="E257">
            <v>0</v>
          </cell>
          <cell r="F257">
            <v>0</v>
          </cell>
          <cell r="G257">
            <v>0</v>
          </cell>
          <cell r="H257">
            <v>0</v>
          </cell>
          <cell r="I257">
            <v>0</v>
          </cell>
          <cell r="J257">
            <v>52994.575654616274</v>
          </cell>
        </row>
        <row r="258">
          <cell r="A258">
            <v>241</v>
          </cell>
          <cell r="B258">
            <v>48639</v>
          </cell>
          <cell r="C258">
            <v>0</v>
          </cell>
          <cell r="D258">
            <v>2876.7965825806332</v>
          </cell>
          <cell r="E258">
            <v>0</v>
          </cell>
          <cell r="F258">
            <v>0</v>
          </cell>
          <cell r="G258">
            <v>0</v>
          </cell>
          <cell r="H258">
            <v>0</v>
          </cell>
          <cell r="I258">
            <v>0</v>
          </cell>
          <cell r="J258">
            <v>52994.575654616274</v>
          </cell>
        </row>
        <row r="259">
          <cell r="A259">
            <v>242</v>
          </cell>
          <cell r="B259">
            <v>48670</v>
          </cell>
          <cell r="C259">
            <v>0</v>
          </cell>
          <cell r="D259">
            <v>2876.7965825806332</v>
          </cell>
          <cell r="E259">
            <v>0</v>
          </cell>
          <cell r="F259">
            <v>0</v>
          </cell>
          <cell r="G259">
            <v>0</v>
          </cell>
          <cell r="H259">
            <v>0</v>
          </cell>
          <cell r="I259">
            <v>0</v>
          </cell>
          <cell r="J259">
            <v>52994.575654616274</v>
          </cell>
        </row>
        <row r="260">
          <cell r="A260">
            <v>243</v>
          </cell>
          <cell r="B260">
            <v>48700</v>
          </cell>
          <cell r="C260">
            <v>0</v>
          </cell>
          <cell r="D260">
            <v>2876.7965825806332</v>
          </cell>
          <cell r="E260">
            <v>0</v>
          </cell>
          <cell r="F260">
            <v>0</v>
          </cell>
          <cell r="G260">
            <v>0</v>
          </cell>
          <cell r="H260">
            <v>0</v>
          </cell>
          <cell r="I260">
            <v>0</v>
          </cell>
          <cell r="J260">
            <v>52994.575654616274</v>
          </cell>
        </row>
        <row r="261">
          <cell r="A261">
            <v>244</v>
          </cell>
          <cell r="B261">
            <v>48731</v>
          </cell>
          <cell r="C261">
            <v>0</v>
          </cell>
          <cell r="D261">
            <v>2876.7965825806332</v>
          </cell>
          <cell r="E261">
            <v>0</v>
          </cell>
          <cell r="F261">
            <v>0</v>
          </cell>
          <cell r="G261">
            <v>0</v>
          </cell>
          <cell r="H261">
            <v>0</v>
          </cell>
          <cell r="I261">
            <v>0</v>
          </cell>
          <cell r="J261">
            <v>52994.575654616274</v>
          </cell>
        </row>
        <row r="262">
          <cell r="A262">
            <v>245</v>
          </cell>
          <cell r="B262">
            <v>48761</v>
          </cell>
          <cell r="C262">
            <v>0</v>
          </cell>
          <cell r="D262">
            <v>2876.7965825806332</v>
          </cell>
          <cell r="E262">
            <v>0</v>
          </cell>
          <cell r="F262">
            <v>0</v>
          </cell>
          <cell r="G262">
            <v>0</v>
          </cell>
          <cell r="H262">
            <v>0</v>
          </cell>
          <cell r="I262">
            <v>0</v>
          </cell>
          <cell r="J262">
            <v>52994.575654616274</v>
          </cell>
        </row>
        <row r="263">
          <cell r="A263">
            <v>246</v>
          </cell>
          <cell r="B263">
            <v>48792</v>
          </cell>
          <cell r="C263">
            <v>0</v>
          </cell>
          <cell r="D263">
            <v>2876.7965825806332</v>
          </cell>
          <cell r="E263">
            <v>0</v>
          </cell>
          <cell r="F263">
            <v>0</v>
          </cell>
          <cell r="G263">
            <v>0</v>
          </cell>
          <cell r="H263">
            <v>0</v>
          </cell>
          <cell r="I263">
            <v>0</v>
          </cell>
          <cell r="J263">
            <v>52994.575654616274</v>
          </cell>
        </row>
        <row r="264">
          <cell r="A264">
            <v>247</v>
          </cell>
          <cell r="B264">
            <v>48823</v>
          </cell>
          <cell r="C264">
            <v>0</v>
          </cell>
          <cell r="D264">
            <v>2876.7965825806332</v>
          </cell>
          <cell r="E264">
            <v>0</v>
          </cell>
          <cell r="F264">
            <v>0</v>
          </cell>
          <cell r="G264">
            <v>0</v>
          </cell>
          <cell r="H264">
            <v>0</v>
          </cell>
          <cell r="I264">
            <v>0</v>
          </cell>
          <cell r="J264">
            <v>52994.575654616274</v>
          </cell>
        </row>
        <row r="265">
          <cell r="A265">
            <v>248</v>
          </cell>
          <cell r="B265">
            <v>48853</v>
          </cell>
          <cell r="C265">
            <v>0</v>
          </cell>
          <cell r="D265">
            <v>2876.7965825806332</v>
          </cell>
          <cell r="E265">
            <v>0</v>
          </cell>
          <cell r="F265">
            <v>0</v>
          </cell>
          <cell r="G265">
            <v>0</v>
          </cell>
          <cell r="H265">
            <v>0</v>
          </cell>
          <cell r="I265">
            <v>0</v>
          </cell>
          <cell r="J265">
            <v>52994.575654616274</v>
          </cell>
        </row>
        <row r="266">
          <cell r="A266">
            <v>249</v>
          </cell>
          <cell r="B266">
            <v>48884</v>
          </cell>
          <cell r="C266">
            <v>0</v>
          </cell>
          <cell r="D266">
            <v>2876.7965825806332</v>
          </cell>
          <cell r="E266">
            <v>0</v>
          </cell>
          <cell r="F266">
            <v>0</v>
          </cell>
          <cell r="G266">
            <v>0</v>
          </cell>
          <cell r="H266">
            <v>0</v>
          </cell>
          <cell r="I266">
            <v>0</v>
          </cell>
          <cell r="J266">
            <v>52994.575654616274</v>
          </cell>
        </row>
        <row r="267">
          <cell r="A267">
            <v>250</v>
          </cell>
          <cell r="B267">
            <v>48914</v>
          </cell>
          <cell r="C267">
            <v>0</v>
          </cell>
          <cell r="D267">
            <v>2876.7965825806332</v>
          </cell>
          <cell r="E267">
            <v>0</v>
          </cell>
          <cell r="F267">
            <v>0</v>
          </cell>
          <cell r="G267">
            <v>0</v>
          </cell>
          <cell r="H267">
            <v>0</v>
          </cell>
          <cell r="I267">
            <v>0</v>
          </cell>
          <cell r="J267">
            <v>52994.575654616274</v>
          </cell>
        </row>
        <row r="268">
          <cell r="A268">
            <v>251</v>
          </cell>
          <cell r="B268">
            <v>48945</v>
          </cell>
          <cell r="C268">
            <v>0</v>
          </cell>
          <cell r="D268">
            <v>2876.7965825806332</v>
          </cell>
          <cell r="E268">
            <v>0</v>
          </cell>
          <cell r="F268">
            <v>0</v>
          </cell>
          <cell r="G268">
            <v>0</v>
          </cell>
          <cell r="H268">
            <v>0</v>
          </cell>
          <cell r="I268">
            <v>0</v>
          </cell>
          <cell r="J268">
            <v>52994.575654616274</v>
          </cell>
        </row>
        <row r="269">
          <cell r="A269">
            <v>252</v>
          </cell>
          <cell r="B269">
            <v>48976</v>
          </cell>
          <cell r="C269">
            <v>0</v>
          </cell>
          <cell r="D269">
            <v>2876.7965825806332</v>
          </cell>
          <cell r="E269">
            <v>0</v>
          </cell>
          <cell r="F269">
            <v>0</v>
          </cell>
          <cell r="G269">
            <v>0</v>
          </cell>
          <cell r="H269">
            <v>0</v>
          </cell>
          <cell r="I269">
            <v>0</v>
          </cell>
          <cell r="J269">
            <v>52994.575654616274</v>
          </cell>
        </row>
        <row r="270">
          <cell r="A270">
            <v>253</v>
          </cell>
          <cell r="B270">
            <v>49004</v>
          </cell>
          <cell r="C270">
            <v>0</v>
          </cell>
          <cell r="D270">
            <v>2876.7965825806332</v>
          </cell>
          <cell r="E270">
            <v>0</v>
          </cell>
          <cell r="F270">
            <v>0</v>
          </cell>
          <cell r="G270">
            <v>0</v>
          </cell>
          <cell r="H270">
            <v>0</v>
          </cell>
          <cell r="I270">
            <v>0</v>
          </cell>
          <cell r="J270">
            <v>52994.575654616274</v>
          </cell>
        </row>
        <row r="271">
          <cell r="A271">
            <v>254</v>
          </cell>
          <cell r="B271">
            <v>49035</v>
          </cell>
          <cell r="C271">
            <v>0</v>
          </cell>
          <cell r="D271">
            <v>2876.7965825806332</v>
          </cell>
          <cell r="E271">
            <v>0</v>
          </cell>
          <cell r="F271">
            <v>0</v>
          </cell>
          <cell r="G271">
            <v>0</v>
          </cell>
          <cell r="H271">
            <v>0</v>
          </cell>
          <cell r="I271">
            <v>0</v>
          </cell>
          <cell r="J271">
            <v>52994.575654616274</v>
          </cell>
        </row>
        <row r="272">
          <cell r="A272">
            <v>255</v>
          </cell>
          <cell r="B272">
            <v>49065</v>
          </cell>
          <cell r="C272">
            <v>0</v>
          </cell>
          <cell r="D272">
            <v>2876.7965825806332</v>
          </cell>
          <cell r="E272">
            <v>0</v>
          </cell>
          <cell r="F272">
            <v>0</v>
          </cell>
          <cell r="G272">
            <v>0</v>
          </cell>
          <cell r="H272">
            <v>0</v>
          </cell>
          <cell r="I272">
            <v>0</v>
          </cell>
          <cell r="J272">
            <v>52994.575654616274</v>
          </cell>
        </row>
        <row r="273">
          <cell r="A273">
            <v>256</v>
          </cell>
          <cell r="B273">
            <v>49096</v>
          </cell>
          <cell r="C273">
            <v>0</v>
          </cell>
          <cell r="D273">
            <v>2876.7965825806332</v>
          </cell>
          <cell r="E273">
            <v>0</v>
          </cell>
          <cell r="F273">
            <v>0</v>
          </cell>
          <cell r="G273">
            <v>0</v>
          </cell>
          <cell r="H273">
            <v>0</v>
          </cell>
          <cell r="I273">
            <v>0</v>
          </cell>
          <cell r="J273">
            <v>52994.575654616274</v>
          </cell>
        </row>
        <row r="274">
          <cell r="A274">
            <v>257</v>
          </cell>
          <cell r="B274">
            <v>49126</v>
          </cell>
          <cell r="C274">
            <v>0</v>
          </cell>
          <cell r="D274">
            <v>2876.7965825806332</v>
          </cell>
          <cell r="E274">
            <v>0</v>
          </cell>
          <cell r="F274">
            <v>0</v>
          </cell>
          <cell r="G274">
            <v>0</v>
          </cell>
          <cell r="H274">
            <v>0</v>
          </cell>
          <cell r="I274">
            <v>0</v>
          </cell>
          <cell r="J274">
            <v>52994.575654616274</v>
          </cell>
        </row>
        <row r="275">
          <cell r="A275">
            <v>258</v>
          </cell>
          <cell r="B275">
            <v>49157</v>
          </cell>
          <cell r="C275">
            <v>0</v>
          </cell>
          <cell r="D275">
            <v>2876.7965825806332</v>
          </cell>
          <cell r="E275">
            <v>0</v>
          </cell>
          <cell r="F275">
            <v>0</v>
          </cell>
          <cell r="G275">
            <v>0</v>
          </cell>
          <cell r="H275">
            <v>0</v>
          </cell>
          <cell r="I275">
            <v>0</v>
          </cell>
          <cell r="J275">
            <v>52994.575654616274</v>
          </cell>
        </row>
        <row r="276">
          <cell r="A276">
            <v>259</v>
          </cell>
          <cell r="B276">
            <v>49188</v>
          </cell>
          <cell r="C276">
            <v>0</v>
          </cell>
          <cell r="D276">
            <v>2876.7965825806332</v>
          </cell>
          <cell r="E276">
            <v>0</v>
          </cell>
          <cell r="F276">
            <v>0</v>
          </cell>
          <cell r="G276">
            <v>0</v>
          </cell>
          <cell r="H276">
            <v>0</v>
          </cell>
          <cell r="I276">
            <v>0</v>
          </cell>
          <cell r="J276">
            <v>52994.575654616274</v>
          </cell>
        </row>
        <row r="277">
          <cell r="A277">
            <v>260</v>
          </cell>
          <cell r="B277">
            <v>49218</v>
          </cell>
          <cell r="C277">
            <v>0</v>
          </cell>
          <cell r="D277">
            <v>2876.7965825806332</v>
          </cell>
          <cell r="E277">
            <v>0</v>
          </cell>
          <cell r="F277">
            <v>0</v>
          </cell>
          <cell r="G277">
            <v>0</v>
          </cell>
          <cell r="H277">
            <v>0</v>
          </cell>
          <cell r="I277">
            <v>0</v>
          </cell>
          <cell r="J277">
            <v>52994.575654616274</v>
          </cell>
        </row>
        <row r="278">
          <cell r="A278">
            <v>261</v>
          </cell>
          <cell r="B278">
            <v>49249</v>
          </cell>
          <cell r="C278">
            <v>0</v>
          </cell>
          <cell r="D278">
            <v>2876.7965825806332</v>
          </cell>
          <cell r="E278">
            <v>0</v>
          </cell>
          <cell r="F278">
            <v>0</v>
          </cell>
          <cell r="G278">
            <v>0</v>
          </cell>
          <cell r="H278">
            <v>0</v>
          </cell>
          <cell r="I278">
            <v>0</v>
          </cell>
          <cell r="J278">
            <v>52994.575654616274</v>
          </cell>
        </row>
        <row r="279">
          <cell r="A279">
            <v>262</v>
          </cell>
          <cell r="B279">
            <v>49279</v>
          </cell>
          <cell r="C279">
            <v>0</v>
          </cell>
          <cell r="D279">
            <v>2876.7965825806332</v>
          </cell>
          <cell r="E279">
            <v>0</v>
          </cell>
          <cell r="F279">
            <v>0</v>
          </cell>
          <cell r="G279">
            <v>0</v>
          </cell>
          <cell r="H279">
            <v>0</v>
          </cell>
          <cell r="I279">
            <v>0</v>
          </cell>
          <cell r="J279">
            <v>52994.575654616274</v>
          </cell>
        </row>
        <row r="280">
          <cell r="A280">
            <v>263</v>
          </cell>
          <cell r="B280">
            <v>49310</v>
          </cell>
          <cell r="C280">
            <v>0</v>
          </cell>
          <cell r="D280">
            <v>2876.7965825806332</v>
          </cell>
          <cell r="E280">
            <v>0</v>
          </cell>
          <cell r="F280">
            <v>0</v>
          </cell>
          <cell r="G280">
            <v>0</v>
          </cell>
          <cell r="H280">
            <v>0</v>
          </cell>
          <cell r="I280">
            <v>0</v>
          </cell>
          <cell r="J280">
            <v>52994.575654616274</v>
          </cell>
        </row>
        <row r="281">
          <cell r="A281">
            <v>264</v>
          </cell>
          <cell r="B281">
            <v>49341</v>
          </cell>
          <cell r="C281">
            <v>0</v>
          </cell>
          <cell r="D281">
            <v>2876.7965825806332</v>
          </cell>
          <cell r="E281">
            <v>0</v>
          </cell>
          <cell r="F281">
            <v>0</v>
          </cell>
          <cell r="G281">
            <v>0</v>
          </cell>
          <cell r="H281">
            <v>0</v>
          </cell>
          <cell r="I281">
            <v>0</v>
          </cell>
          <cell r="J281">
            <v>52994.575654616274</v>
          </cell>
        </row>
        <row r="282">
          <cell r="A282">
            <v>265</v>
          </cell>
          <cell r="B282">
            <v>49369</v>
          </cell>
          <cell r="C282">
            <v>0</v>
          </cell>
          <cell r="D282">
            <v>2876.7965825806332</v>
          </cell>
          <cell r="E282">
            <v>0</v>
          </cell>
          <cell r="F282">
            <v>0</v>
          </cell>
          <cell r="G282">
            <v>0</v>
          </cell>
          <cell r="H282">
            <v>0</v>
          </cell>
          <cell r="I282">
            <v>0</v>
          </cell>
          <cell r="J282">
            <v>52994.575654616274</v>
          </cell>
        </row>
        <row r="283">
          <cell r="A283">
            <v>266</v>
          </cell>
          <cell r="B283">
            <v>49400</v>
          </cell>
          <cell r="C283">
            <v>0</v>
          </cell>
          <cell r="D283">
            <v>2876.7965825806332</v>
          </cell>
          <cell r="E283">
            <v>0</v>
          </cell>
          <cell r="F283">
            <v>0</v>
          </cell>
          <cell r="G283">
            <v>0</v>
          </cell>
          <cell r="H283">
            <v>0</v>
          </cell>
          <cell r="I283">
            <v>0</v>
          </cell>
          <cell r="J283">
            <v>52994.575654616274</v>
          </cell>
        </row>
        <row r="284">
          <cell r="A284">
            <v>267</v>
          </cell>
          <cell r="B284">
            <v>49430</v>
          </cell>
          <cell r="C284">
            <v>0</v>
          </cell>
          <cell r="D284">
            <v>2876.7965825806332</v>
          </cell>
          <cell r="E284">
            <v>0</v>
          </cell>
          <cell r="F284">
            <v>0</v>
          </cell>
          <cell r="G284">
            <v>0</v>
          </cell>
          <cell r="H284">
            <v>0</v>
          </cell>
          <cell r="I284">
            <v>0</v>
          </cell>
          <cell r="J284">
            <v>52994.575654616274</v>
          </cell>
        </row>
        <row r="285">
          <cell r="A285">
            <v>268</v>
          </cell>
          <cell r="B285">
            <v>49461</v>
          </cell>
          <cell r="C285">
            <v>0</v>
          </cell>
          <cell r="D285">
            <v>2876.7965825806332</v>
          </cell>
          <cell r="E285">
            <v>0</v>
          </cell>
          <cell r="F285">
            <v>0</v>
          </cell>
          <cell r="G285">
            <v>0</v>
          </cell>
          <cell r="H285">
            <v>0</v>
          </cell>
          <cell r="I285">
            <v>0</v>
          </cell>
          <cell r="J285">
            <v>52994.575654616274</v>
          </cell>
        </row>
        <row r="286">
          <cell r="A286">
            <v>269</v>
          </cell>
          <cell r="B286">
            <v>49491</v>
          </cell>
          <cell r="C286">
            <v>0</v>
          </cell>
          <cell r="D286">
            <v>2876.7965825806332</v>
          </cell>
          <cell r="E286">
            <v>0</v>
          </cell>
          <cell r="F286">
            <v>0</v>
          </cell>
          <cell r="G286">
            <v>0</v>
          </cell>
          <cell r="H286">
            <v>0</v>
          </cell>
          <cell r="I286">
            <v>0</v>
          </cell>
          <cell r="J286">
            <v>52994.575654616274</v>
          </cell>
        </row>
        <row r="287">
          <cell r="A287">
            <v>270</v>
          </cell>
          <cell r="B287">
            <v>49522</v>
          </cell>
          <cell r="C287">
            <v>0</v>
          </cell>
          <cell r="D287">
            <v>2876.7965825806332</v>
          </cell>
          <cell r="E287">
            <v>0</v>
          </cell>
          <cell r="F287">
            <v>0</v>
          </cell>
          <cell r="G287">
            <v>0</v>
          </cell>
          <cell r="H287">
            <v>0</v>
          </cell>
          <cell r="I287">
            <v>0</v>
          </cell>
          <cell r="J287">
            <v>52994.575654616274</v>
          </cell>
        </row>
        <row r="288">
          <cell r="A288">
            <v>271</v>
          </cell>
          <cell r="B288">
            <v>49553</v>
          </cell>
          <cell r="C288">
            <v>0</v>
          </cell>
          <cell r="D288">
            <v>2876.7965825806332</v>
          </cell>
          <cell r="E288">
            <v>0</v>
          </cell>
          <cell r="F288">
            <v>0</v>
          </cell>
          <cell r="G288">
            <v>0</v>
          </cell>
          <cell r="H288">
            <v>0</v>
          </cell>
          <cell r="I288">
            <v>0</v>
          </cell>
          <cell r="J288">
            <v>52994.575654616274</v>
          </cell>
        </row>
        <row r="289">
          <cell r="A289">
            <v>272</v>
          </cell>
          <cell r="B289">
            <v>49583</v>
          </cell>
          <cell r="C289">
            <v>0</v>
          </cell>
          <cell r="D289">
            <v>2876.7965825806332</v>
          </cell>
          <cell r="E289">
            <v>0</v>
          </cell>
          <cell r="F289">
            <v>0</v>
          </cell>
          <cell r="G289">
            <v>0</v>
          </cell>
          <cell r="H289">
            <v>0</v>
          </cell>
          <cell r="I289">
            <v>0</v>
          </cell>
          <cell r="J289">
            <v>52994.575654616274</v>
          </cell>
        </row>
        <row r="290">
          <cell r="A290">
            <v>273</v>
          </cell>
          <cell r="B290">
            <v>49614</v>
          </cell>
          <cell r="C290">
            <v>0</v>
          </cell>
          <cell r="D290">
            <v>2876.7965825806332</v>
          </cell>
          <cell r="E290">
            <v>0</v>
          </cell>
          <cell r="F290">
            <v>0</v>
          </cell>
          <cell r="G290">
            <v>0</v>
          </cell>
          <cell r="H290">
            <v>0</v>
          </cell>
          <cell r="I290">
            <v>0</v>
          </cell>
          <cell r="J290">
            <v>52994.575654616274</v>
          </cell>
        </row>
        <row r="291">
          <cell r="A291">
            <v>274</v>
          </cell>
          <cell r="B291">
            <v>49644</v>
          </cell>
          <cell r="C291">
            <v>0</v>
          </cell>
          <cell r="D291">
            <v>2876.7965825806332</v>
          </cell>
          <cell r="E291">
            <v>0</v>
          </cell>
          <cell r="F291">
            <v>0</v>
          </cell>
          <cell r="G291">
            <v>0</v>
          </cell>
          <cell r="H291">
            <v>0</v>
          </cell>
          <cell r="I291">
            <v>0</v>
          </cell>
          <cell r="J291">
            <v>52994.575654616274</v>
          </cell>
        </row>
        <row r="292">
          <cell r="A292">
            <v>275</v>
          </cell>
          <cell r="B292">
            <v>49675</v>
          </cell>
          <cell r="C292">
            <v>0</v>
          </cell>
          <cell r="D292">
            <v>2876.7965825806332</v>
          </cell>
          <cell r="E292">
            <v>0</v>
          </cell>
          <cell r="F292">
            <v>0</v>
          </cell>
          <cell r="G292">
            <v>0</v>
          </cell>
          <cell r="H292">
            <v>0</v>
          </cell>
          <cell r="I292">
            <v>0</v>
          </cell>
          <cell r="J292">
            <v>52994.575654616274</v>
          </cell>
        </row>
        <row r="293">
          <cell r="A293">
            <v>276</v>
          </cell>
          <cell r="B293">
            <v>49706</v>
          </cell>
          <cell r="C293">
            <v>0</v>
          </cell>
          <cell r="D293">
            <v>2876.7965825806332</v>
          </cell>
          <cell r="E293">
            <v>0</v>
          </cell>
          <cell r="F293">
            <v>0</v>
          </cell>
          <cell r="G293">
            <v>0</v>
          </cell>
          <cell r="H293">
            <v>0</v>
          </cell>
          <cell r="I293">
            <v>0</v>
          </cell>
          <cell r="J293">
            <v>52994.575654616274</v>
          </cell>
        </row>
        <row r="294">
          <cell r="A294">
            <v>277</v>
          </cell>
          <cell r="B294">
            <v>49735</v>
          </cell>
          <cell r="C294">
            <v>0</v>
          </cell>
          <cell r="D294">
            <v>2876.7965825806332</v>
          </cell>
          <cell r="E294">
            <v>0</v>
          </cell>
          <cell r="F294">
            <v>0</v>
          </cell>
          <cell r="G294">
            <v>0</v>
          </cell>
          <cell r="H294">
            <v>0</v>
          </cell>
          <cell r="I294">
            <v>0</v>
          </cell>
          <cell r="J294">
            <v>52994.575654616274</v>
          </cell>
        </row>
        <row r="295">
          <cell r="A295">
            <v>278</v>
          </cell>
          <cell r="B295">
            <v>49766</v>
          </cell>
          <cell r="C295">
            <v>0</v>
          </cell>
          <cell r="D295">
            <v>2876.7965825806332</v>
          </cell>
          <cell r="E295">
            <v>0</v>
          </cell>
          <cell r="F295">
            <v>0</v>
          </cell>
          <cell r="G295">
            <v>0</v>
          </cell>
          <cell r="H295">
            <v>0</v>
          </cell>
          <cell r="I295">
            <v>0</v>
          </cell>
          <cell r="J295">
            <v>52994.575654616274</v>
          </cell>
        </row>
        <row r="296">
          <cell r="A296">
            <v>279</v>
          </cell>
          <cell r="B296">
            <v>49796</v>
          </cell>
          <cell r="C296">
            <v>0</v>
          </cell>
          <cell r="D296">
            <v>2876.7965825806332</v>
          </cell>
          <cell r="E296">
            <v>0</v>
          </cell>
          <cell r="F296">
            <v>0</v>
          </cell>
          <cell r="G296">
            <v>0</v>
          </cell>
          <cell r="H296">
            <v>0</v>
          </cell>
          <cell r="I296">
            <v>0</v>
          </cell>
          <cell r="J296">
            <v>52994.575654616274</v>
          </cell>
        </row>
        <row r="297">
          <cell r="A297">
            <v>280</v>
          </cell>
          <cell r="B297">
            <v>49827</v>
          </cell>
          <cell r="C297">
            <v>0</v>
          </cell>
          <cell r="D297">
            <v>2876.7965825806332</v>
          </cell>
          <cell r="E297">
            <v>0</v>
          </cell>
          <cell r="F297">
            <v>0</v>
          </cell>
          <cell r="G297">
            <v>0</v>
          </cell>
          <cell r="H297">
            <v>0</v>
          </cell>
          <cell r="I297">
            <v>0</v>
          </cell>
          <cell r="J297">
            <v>52994.575654616274</v>
          </cell>
        </row>
        <row r="298">
          <cell r="A298">
            <v>281</v>
          </cell>
          <cell r="B298">
            <v>49857</v>
          </cell>
          <cell r="C298">
            <v>0</v>
          </cell>
          <cell r="D298">
            <v>2876.7965825806332</v>
          </cell>
          <cell r="E298">
            <v>0</v>
          </cell>
          <cell r="F298">
            <v>0</v>
          </cell>
          <cell r="G298">
            <v>0</v>
          </cell>
          <cell r="H298">
            <v>0</v>
          </cell>
          <cell r="I298">
            <v>0</v>
          </cell>
          <cell r="J298">
            <v>52994.575654616274</v>
          </cell>
        </row>
        <row r="299">
          <cell r="A299">
            <v>282</v>
          </cell>
          <cell r="B299">
            <v>49888</v>
          </cell>
          <cell r="C299">
            <v>0</v>
          </cell>
          <cell r="D299">
            <v>2876.7965825806332</v>
          </cell>
          <cell r="E299">
            <v>0</v>
          </cell>
          <cell r="F299">
            <v>0</v>
          </cell>
          <cell r="G299">
            <v>0</v>
          </cell>
          <cell r="H299">
            <v>0</v>
          </cell>
          <cell r="I299">
            <v>0</v>
          </cell>
          <cell r="J299">
            <v>52994.575654616274</v>
          </cell>
        </row>
        <row r="300">
          <cell r="A300">
            <v>283</v>
          </cell>
          <cell r="B300">
            <v>49919</v>
          </cell>
          <cell r="C300">
            <v>0</v>
          </cell>
          <cell r="D300">
            <v>2876.7965825806332</v>
          </cell>
          <cell r="E300">
            <v>0</v>
          </cell>
          <cell r="F300">
            <v>0</v>
          </cell>
          <cell r="G300">
            <v>0</v>
          </cell>
          <cell r="H300">
            <v>0</v>
          </cell>
          <cell r="I300">
            <v>0</v>
          </cell>
          <cell r="J300">
            <v>52994.575654616274</v>
          </cell>
        </row>
        <row r="301">
          <cell r="A301">
            <v>284</v>
          </cell>
          <cell r="B301">
            <v>49949</v>
          </cell>
          <cell r="C301">
            <v>0</v>
          </cell>
          <cell r="D301">
            <v>2876.7965825806332</v>
          </cell>
          <cell r="E301">
            <v>0</v>
          </cell>
          <cell r="F301">
            <v>0</v>
          </cell>
          <cell r="G301">
            <v>0</v>
          </cell>
          <cell r="H301">
            <v>0</v>
          </cell>
          <cell r="I301">
            <v>0</v>
          </cell>
          <cell r="J301">
            <v>52994.575654616274</v>
          </cell>
        </row>
        <row r="302">
          <cell r="A302">
            <v>285</v>
          </cell>
          <cell r="B302">
            <v>49980</v>
          </cell>
          <cell r="C302">
            <v>0</v>
          </cell>
          <cell r="D302">
            <v>2876.7965825806332</v>
          </cell>
          <cell r="E302">
            <v>0</v>
          </cell>
          <cell r="F302">
            <v>0</v>
          </cell>
          <cell r="G302">
            <v>0</v>
          </cell>
          <cell r="H302">
            <v>0</v>
          </cell>
          <cell r="I302">
            <v>0</v>
          </cell>
          <cell r="J302">
            <v>52994.575654616274</v>
          </cell>
        </row>
        <row r="303">
          <cell r="A303">
            <v>286</v>
          </cell>
          <cell r="B303">
            <v>50010</v>
          </cell>
          <cell r="C303">
            <v>0</v>
          </cell>
          <cell r="D303">
            <v>2876.7965825806332</v>
          </cell>
          <cell r="E303">
            <v>0</v>
          </cell>
          <cell r="F303">
            <v>0</v>
          </cell>
          <cell r="G303">
            <v>0</v>
          </cell>
          <cell r="H303">
            <v>0</v>
          </cell>
          <cell r="I303">
            <v>0</v>
          </cell>
          <cell r="J303">
            <v>52994.575654616274</v>
          </cell>
        </row>
        <row r="304">
          <cell r="A304">
            <v>287</v>
          </cell>
          <cell r="B304">
            <v>50041</v>
          </cell>
          <cell r="C304">
            <v>0</v>
          </cell>
          <cell r="D304">
            <v>2876.7965825806332</v>
          </cell>
          <cell r="E304">
            <v>0</v>
          </cell>
          <cell r="F304">
            <v>0</v>
          </cell>
          <cell r="G304">
            <v>0</v>
          </cell>
          <cell r="H304">
            <v>0</v>
          </cell>
          <cell r="I304">
            <v>0</v>
          </cell>
          <cell r="J304">
            <v>52994.575654616274</v>
          </cell>
        </row>
        <row r="305">
          <cell r="A305">
            <v>288</v>
          </cell>
          <cell r="B305">
            <v>50072</v>
          </cell>
          <cell r="C305">
            <v>0</v>
          </cell>
          <cell r="D305">
            <v>2876.7965825806332</v>
          </cell>
          <cell r="E305">
            <v>0</v>
          </cell>
          <cell r="F305">
            <v>0</v>
          </cell>
          <cell r="G305">
            <v>0</v>
          </cell>
          <cell r="H305">
            <v>0</v>
          </cell>
          <cell r="I305">
            <v>0</v>
          </cell>
          <cell r="J305">
            <v>52994.575654616274</v>
          </cell>
        </row>
        <row r="306">
          <cell r="A306">
            <v>289</v>
          </cell>
          <cell r="B306">
            <v>50100</v>
          </cell>
          <cell r="C306">
            <v>0</v>
          </cell>
          <cell r="D306">
            <v>2876.7965825806332</v>
          </cell>
          <cell r="E306">
            <v>0</v>
          </cell>
          <cell r="F306">
            <v>0</v>
          </cell>
          <cell r="G306">
            <v>0</v>
          </cell>
          <cell r="H306">
            <v>0</v>
          </cell>
          <cell r="I306">
            <v>0</v>
          </cell>
          <cell r="J306">
            <v>52994.575654616274</v>
          </cell>
        </row>
        <row r="307">
          <cell r="A307">
            <v>290</v>
          </cell>
          <cell r="B307">
            <v>50131</v>
          </cell>
          <cell r="C307">
            <v>0</v>
          </cell>
          <cell r="D307">
            <v>2876.7965825806332</v>
          </cell>
          <cell r="E307">
            <v>0</v>
          </cell>
          <cell r="F307">
            <v>0</v>
          </cell>
          <cell r="G307">
            <v>0</v>
          </cell>
          <cell r="H307">
            <v>0</v>
          </cell>
          <cell r="I307">
            <v>0</v>
          </cell>
          <cell r="J307">
            <v>52994.575654616274</v>
          </cell>
        </row>
        <row r="308">
          <cell r="A308">
            <v>291</v>
          </cell>
          <cell r="B308">
            <v>50161</v>
          </cell>
          <cell r="C308">
            <v>0</v>
          </cell>
          <cell r="D308">
            <v>2876.7965825806332</v>
          </cell>
          <cell r="E308">
            <v>0</v>
          </cell>
          <cell r="F308">
            <v>0</v>
          </cell>
          <cell r="G308">
            <v>0</v>
          </cell>
          <cell r="H308">
            <v>0</v>
          </cell>
          <cell r="I308">
            <v>0</v>
          </cell>
          <cell r="J308">
            <v>52994.575654616274</v>
          </cell>
        </row>
        <row r="309">
          <cell r="A309">
            <v>292</v>
          </cell>
          <cell r="B309">
            <v>50192</v>
          </cell>
          <cell r="C309">
            <v>0</v>
          </cell>
          <cell r="D309">
            <v>2876.7965825806332</v>
          </cell>
          <cell r="E309">
            <v>0</v>
          </cell>
          <cell r="F309">
            <v>0</v>
          </cell>
          <cell r="G309">
            <v>0</v>
          </cell>
          <cell r="H309">
            <v>0</v>
          </cell>
          <cell r="I309">
            <v>0</v>
          </cell>
          <cell r="J309">
            <v>52994.575654616274</v>
          </cell>
        </row>
        <row r="310">
          <cell r="A310">
            <v>293</v>
          </cell>
          <cell r="B310">
            <v>50222</v>
          </cell>
          <cell r="C310">
            <v>0</v>
          </cell>
          <cell r="D310">
            <v>2876.7965825806332</v>
          </cell>
          <cell r="E310">
            <v>0</v>
          </cell>
          <cell r="F310">
            <v>0</v>
          </cell>
          <cell r="G310">
            <v>0</v>
          </cell>
          <cell r="H310">
            <v>0</v>
          </cell>
          <cell r="I310">
            <v>0</v>
          </cell>
          <cell r="J310">
            <v>52994.575654616274</v>
          </cell>
        </row>
        <row r="311">
          <cell r="A311">
            <v>294</v>
          </cell>
          <cell r="B311">
            <v>50253</v>
          </cell>
          <cell r="C311">
            <v>0</v>
          </cell>
          <cell r="D311">
            <v>2876.7965825806332</v>
          </cell>
          <cell r="E311">
            <v>0</v>
          </cell>
          <cell r="F311">
            <v>0</v>
          </cell>
          <cell r="G311">
            <v>0</v>
          </cell>
          <cell r="H311">
            <v>0</v>
          </cell>
          <cell r="I311">
            <v>0</v>
          </cell>
          <cell r="J311">
            <v>52994.575654616274</v>
          </cell>
        </row>
        <row r="312">
          <cell r="A312">
            <v>295</v>
          </cell>
          <cell r="B312">
            <v>50284</v>
          </cell>
          <cell r="C312">
            <v>0</v>
          </cell>
          <cell r="D312">
            <v>2876.7965825806332</v>
          </cell>
          <cell r="E312">
            <v>0</v>
          </cell>
          <cell r="F312">
            <v>0</v>
          </cell>
          <cell r="G312">
            <v>0</v>
          </cell>
          <cell r="H312">
            <v>0</v>
          </cell>
          <cell r="I312">
            <v>0</v>
          </cell>
          <cell r="J312">
            <v>52994.575654616274</v>
          </cell>
        </row>
        <row r="313">
          <cell r="A313">
            <v>296</v>
          </cell>
          <cell r="B313">
            <v>50314</v>
          </cell>
          <cell r="C313">
            <v>0</v>
          </cell>
          <cell r="D313">
            <v>2876.7965825806332</v>
          </cell>
          <cell r="E313">
            <v>0</v>
          </cell>
          <cell r="F313">
            <v>0</v>
          </cell>
          <cell r="G313">
            <v>0</v>
          </cell>
          <cell r="H313">
            <v>0</v>
          </cell>
          <cell r="I313">
            <v>0</v>
          </cell>
          <cell r="J313">
            <v>52994.575654616274</v>
          </cell>
        </row>
        <row r="314">
          <cell r="A314">
            <v>297</v>
          </cell>
          <cell r="B314">
            <v>50345</v>
          </cell>
          <cell r="C314">
            <v>0</v>
          </cell>
          <cell r="D314">
            <v>2876.7965825806332</v>
          </cell>
          <cell r="E314">
            <v>0</v>
          </cell>
          <cell r="F314">
            <v>0</v>
          </cell>
          <cell r="G314">
            <v>0</v>
          </cell>
          <cell r="H314">
            <v>0</v>
          </cell>
          <cell r="I314">
            <v>0</v>
          </cell>
          <cell r="J314">
            <v>52994.575654616274</v>
          </cell>
        </row>
        <row r="315">
          <cell r="A315">
            <v>298</v>
          </cell>
          <cell r="B315">
            <v>50375</v>
          </cell>
          <cell r="C315">
            <v>0</v>
          </cell>
          <cell r="D315">
            <v>2876.7965825806332</v>
          </cell>
          <cell r="E315">
            <v>0</v>
          </cell>
          <cell r="F315">
            <v>0</v>
          </cell>
          <cell r="G315">
            <v>0</v>
          </cell>
          <cell r="H315">
            <v>0</v>
          </cell>
          <cell r="I315">
            <v>0</v>
          </cell>
          <cell r="J315">
            <v>52994.575654616274</v>
          </cell>
        </row>
        <row r="316">
          <cell r="A316">
            <v>299</v>
          </cell>
          <cell r="B316">
            <v>50406</v>
          </cell>
          <cell r="C316">
            <v>0</v>
          </cell>
          <cell r="D316">
            <v>2876.7965825806332</v>
          </cell>
          <cell r="E316">
            <v>0</v>
          </cell>
          <cell r="F316">
            <v>0</v>
          </cell>
          <cell r="G316">
            <v>0</v>
          </cell>
          <cell r="H316">
            <v>0</v>
          </cell>
          <cell r="I316">
            <v>0</v>
          </cell>
          <cell r="J316">
            <v>52994.575654616274</v>
          </cell>
        </row>
        <row r="317">
          <cell r="A317">
            <v>300</v>
          </cell>
          <cell r="B317">
            <v>50437</v>
          </cell>
          <cell r="C317">
            <v>0</v>
          </cell>
          <cell r="D317">
            <v>2876.7965825806332</v>
          </cell>
          <cell r="E317">
            <v>0</v>
          </cell>
          <cell r="F317">
            <v>0</v>
          </cell>
          <cell r="G317">
            <v>0</v>
          </cell>
          <cell r="H317">
            <v>0</v>
          </cell>
          <cell r="I317">
            <v>0</v>
          </cell>
          <cell r="J317">
            <v>52994.575654616274</v>
          </cell>
        </row>
        <row r="318">
          <cell r="A318">
            <v>301</v>
          </cell>
          <cell r="B318">
            <v>50465</v>
          </cell>
          <cell r="C318">
            <v>0</v>
          </cell>
          <cell r="D318">
            <v>2876.7965825806332</v>
          </cell>
          <cell r="E318">
            <v>0</v>
          </cell>
          <cell r="F318">
            <v>0</v>
          </cell>
          <cell r="G318">
            <v>0</v>
          </cell>
          <cell r="H318">
            <v>0</v>
          </cell>
          <cell r="I318">
            <v>0</v>
          </cell>
          <cell r="J318">
            <v>52994.575654616274</v>
          </cell>
        </row>
        <row r="319">
          <cell r="A319">
            <v>302</v>
          </cell>
          <cell r="B319">
            <v>50496</v>
          </cell>
          <cell r="C319">
            <v>0</v>
          </cell>
          <cell r="D319">
            <v>2876.7965825806332</v>
          </cell>
          <cell r="E319">
            <v>0</v>
          </cell>
          <cell r="F319">
            <v>0</v>
          </cell>
          <cell r="G319">
            <v>0</v>
          </cell>
          <cell r="H319">
            <v>0</v>
          </cell>
          <cell r="I319">
            <v>0</v>
          </cell>
          <cell r="J319">
            <v>52994.575654616274</v>
          </cell>
        </row>
        <row r="320">
          <cell r="A320">
            <v>303</v>
          </cell>
          <cell r="B320">
            <v>50526</v>
          </cell>
          <cell r="C320">
            <v>0</v>
          </cell>
          <cell r="D320">
            <v>2876.7965825806332</v>
          </cell>
          <cell r="E320">
            <v>0</v>
          </cell>
          <cell r="F320">
            <v>0</v>
          </cell>
          <cell r="G320">
            <v>0</v>
          </cell>
          <cell r="H320">
            <v>0</v>
          </cell>
          <cell r="I320">
            <v>0</v>
          </cell>
          <cell r="J320">
            <v>52994.575654616274</v>
          </cell>
        </row>
        <row r="321">
          <cell r="A321">
            <v>304</v>
          </cell>
          <cell r="B321">
            <v>50557</v>
          </cell>
          <cell r="C321">
            <v>0</v>
          </cell>
          <cell r="D321">
            <v>2876.7965825806332</v>
          </cell>
          <cell r="E321">
            <v>0</v>
          </cell>
          <cell r="F321">
            <v>0</v>
          </cell>
          <cell r="G321">
            <v>0</v>
          </cell>
          <cell r="H321">
            <v>0</v>
          </cell>
          <cell r="I321">
            <v>0</v>
          </cell>
          <cell r="J321">
            <v>52994.575654616274</v>
          </cell>
        </row>
        <row r="322">
          <cell r="A322">
            <v>305</v>
          </cell>
          <cell r="B322">
            <v>50587</v>
          </cell>
          <cell r="C322">
            <v>0</v>
          </cell>
          <cell r="D322">
            <v>2876.7965825806332</v>
          </cell>
          <cell r="E322">
            <v>0</v>
          </cell>
          <cell r="F322">
            <v>0</v>
          </cell>
          <cell r="G322">
            <v>0</v>
          </cell>
          <cell r="H322">
            <v>0</v>
          </cell>
          <cell r="I322">
            <v>0</v>
          </cell>
          <cell r="J322">
            <v>52994.575654616274</v>
          </cell>
        </row>
        <row r="323">
          <cell r="A323">
            <v>306</v>
          </cell>
          <cell r="B323">
            <v>50618</v>
          </cell>
          <cell r="C323">
            <v>0</v>
          </cell>
          <cell r="D323">
            <v>2876.7965825806332</v>
          </cell>
          <cell r="E323">
            <v>0</v>
          </cell>
          <cell r="F323">
            <v>0</v>
          </cell>
          <cell r="G323">
            <v>0</v>
          </cell>
          <cell r="H323">
            <v>0</v>
          </cell>
          <cell r="I323">
            <v>0</v>
          </cell>
          <cell r="J323">
            <v>52994.575654616274</v>
          </cell>
        </row>
        <row r="324">
          <cell r="A324">
            <v>307</v>
          </cell>
          <cell r="B324">
            <v>50649</v>
          </cell>
          <cell r="C324">
            <v>0</v>
          </cell>
          <cell r="D324">
            <v>2876.7965825806332</v>
          </cell>
          <cell r="E324">
            <v>0</v>
          </cell>
          <cell r="F324">
            <v>0</v>
          </cell>
          <cell r="G324">
            <v>0</v>
          </cell>
          <cell r="H324">
            <v>0</v>
          </cell>
          <cell r="I324">
            <v>0</v>
          </cell>
          <cell r="J324">
            <v>52994.575654616274</v>
          </cell>
        </row>
        <row r="325">
          <cell r="A325">
            <v>308</v>
          </cell>
          <cell r="B325">
            <v>50679</v>
          </cell>
          <cell r="C325">
            <v>0</v>
          </cell>
          <cell r="D325">
            <v>2876.7965825806332</v>
          </cell>
          <cell r="E325">
            <v>0</v>
          </cell>
          <cell r="F325">
            <v>0</v>
          </cell>
          <cell r="G325">
            <v>0</v>
          </cell>
          <cell r="H325">
            <v>0</v>
          </cell>
          <cell r="I325">
            <v>0</v>
          </cell>
          <cell r="J325">
            <v>52994.575654616274</v>
          </cell>
        </row>
        <row r="326">
          <cell r="A326">
            <v>309</v>
          </cell>
          <cell r="B326">
            <v>50710</v>
          </cell>
          <cell r="C326">
            <v>0</v>
          </cell>
          <cell r="D326">
            <v>2876.7965825806332</v>
          </cell>
          <cell r="E326">
            <v>0</v>
          </cell>
          <cell r="F326">
            <v>0</v>
          </cell>
          <cell r="G326">
            <v>0</v>
          </cell>
          <cell r="H326">
            <v>0</v>
          </cell>
          <cell r="I326">
            <v>0</v>
          </cell>
          <cell r="J326">
            <v>52994.575654616274</v>
          </cell>
        </row>
        <row r="327">
          <cell r="A327">
            <v>310</v>
          </cell>
          <cell r="B327">
            <v>50740</v>
          </cell>
          <cell r="C327">
            <v>0</v>
          </cell>
          <cell r="D327">
            <v>2876.7965825806332</v>
          </cell>
          <cell r="E327">
            <v>0</v>
          </cell>
          <cell r="F327">
            <v>0</v>
          </cell>
          <cell r="G327">
            <v>0</v>
          </cell>
          <cell r="H327">
            <v>0</v>
          </cell>
          <cell r="I327">
            <v>0</v>
          </cell>
          <cell r="J327">
            <v>52994.575654616274</v>
          </cell>
        </row>
        <row r="328">
          <cell r="A328">
            <v>311</v>
          </cell>
          <cell r="B328">
            <v>50771</v>
          </cell>
          <cell r="C328">
            <v>0</v>
          </cell>
          <cell r="D328">
            <v>2876.7965825806332</v>
          </cell>
          <cell r="E328">
            <v>0</v>
          </cell>
          <cell r="F328">
            <v>0</v>
          </cell>
          <cell r="G328">
            <v>0</v>
          </cell>
          <cell r="H328">
            <v>0</v>
          </cell>
          <cell r="I328">
            <v>0</v>
          </cell>
          <cell r="J328">
            <v>52994.575654616274</v>
          </cell>
        </row>
        <row r="329">
          <cell r="A329">
            <v>312</v>
          </cell>
          <cell r="B329">
            <v>50802</v>
          </cell>
          <cell r="C329">
            <v>0</v>
          </cell>
          <cell r="D329">
            <v>2876.7965825806332</v>
          </cell>
          <cell r="E329">
            <v>0</v>
          </cell>
          <cell r="F329">
            <v>0</v>
          </cell>
          <cell r="G329">
            <v>0</v>
          </cell>
          <cell r="H329">
            <v>0</v>
          </cell>
          <cell r="I329">
            <v>0</v>
          </cell>
          <cell r="J329">
            <v>52994.575654616274</v>
          </cell>
        </row>
        <row r="330">
          <cell r="A330">
            <v>313</v>
          </cell>
          <cell r="B330">
            <v>50830</v>
          </cell>
          <cell r="C330">
            <v>0</v>
          </cell>
          <cell r="D330">
            <v>2876.7965825806332</v>
          </cell>
          <cell r="E330">
            <v>0</v>
          </cell>
          <cell r="F330">
            <v>0</v>
          </cell>
          <cell r="G330">
            <v>0</v>
          </cell>
          <cell r="H330">
            <v>0</v>
          </cell>
          <cell r="I330">
            <v>0</v>
          </cell>
          <cell r="J330">
            <v>52994.575654616274</v>
          </cell>
        </row>
        <row r="331">
          <cell r="A331">
            <v>314</v>
          </cell>
          <cell r="B331">
            <v>50861</v>
          </cell>
          <cell r="C331">
            <v>0</v>
          </cell>
          <cell r="D331">
            <v>2876.7965825806332</v>
          </cell>
          <cell r="E331">
            <v>0</v>
          </cell>
          <cell r="F331">
            <v>0</v>
          </cell>
          <cell r="G331">
            <v>0</v>
          </cell>
          <cell r="H331">
            <v>0</v>
          </cell>
          <cell r="I331">
            <v>0</v>
          </cell>
          <cell r="J331">
            <v>52994.575654616274</v>
          </cell>
        </row>
        <row r="332">
          <cell r="A332">
            <v>315</v>
          </cell>
          <cell r="B332">
            <v>50891</v>
          </cell>
          <cell r="C332">
            <v>0</v>
          </cell>
          <cell r="D332">
            <v>2876.7965825806332</v>
          </cell>
          <cell r="E332">
            <v>0</v>
          </cell>
          <cell r="F332">
            <v>0</v>
          </cell>
          <cell r="G332">
            <v>0</v>
          </cell>
          <cell r="H332">
            <v>0</v>
          </cell>
          <cell r="I332">
            <v>0</v>
          </cell>
          <cell r="J332">
            <v>52994.575654616274</v>
          </cell>
        </row>
        <row r="333">
          <cell r="A333">
            <v>316</v>
          </cell>
          <cell r="B333">
            <v>50922</v>
          </cell>
          <cell r="C333">
            <v>0</v>
          </cell>
          <cell r="D333">
            <v>2876.7965825806332</v>
          </cell>
          <cell r="E333">
            <v>0</v>
          </cell>
          <cell r="F333">
            <v>0</v>
          </cell>
          <cell r="G333">
            <v>0</v>
          </cell>
          <cell r="H333">
            <v>0</v>
          </cell>
          <cell r="I333">
            <v>0</v>
          </cell>
          <cell r="J333">
            <v>52994.575654616274</v>
          </cell>
        </row>
        <row r="334">
          <cell r="A334">
            <v>317</v>
          </cell>
          <cell r="B334">
            <v>50952</v>
          </cell>
          <cell r="C334">
            <v>0</v>
          </cell>
          <cell r="D334">
            <v>2876.7965825806332</v>
          </cell>
          <cell r="E334">
            <v>0</v>
          </cell>
          <cell r="F334">
            <v>0</v>
          </cell>
          <cell r="G334">
            <v>0</v>
          </cell>
          <cell r="H334">
            <v>0</v>
          </cell>
          <cell r="I334">
            <v>0</v>
          </cell>
          <cell r="J334">
            <v>52994.575654616274</v>
          </cell>
        </row>
        <row r="335">
          <cell r="A335">
            <v>318</v>
          </cell>
          <cell r="B335">
            <v>50983</v>
          </cell>
          <cell r="C335">
            <v>0</v>
          </cell>
          <cell r="D335">
            <v>2876.7965825806332</v>
          </cell>
          <cell r="E335">
            <v>0</v>
          </cell>
          <cell r="F335">
            <v>0</v>
          </cell>
          <cell r="G335">
            <v>0</v>
          </cell>
          <cell r="H335">
            <v>0</v>
          </cell>
          <cell r="I335">
            <v>0</v>
          </cell>
          <cell r="J335">
            <v>52994.575654616274</v>
          </cell>
        </row>
        <row r="336">
          <cell r="A336">
            <v>319</v>
          </cell>
          <cell r="B336">
            <v>51014</v>
          </cell>
          <cell r="C336">
            <v>0</v>
          </cell>
          <cell r="D336">
            <v>2876.7965825806332</v>
          </cell>
          <cell r="E336">
            <v>0</v>
          </cell>
          <cell r="F336">
            <v>0</v>
          </cell>
          <cell r="G336">
            <v>0</v>
          </cell>
          <cell r="H336">
            <v>0</v>
          </cell>
          <cell r="I336">
            <v>0</v>
          </cell>
          <cell r="J336">
            <v>52994.575654616274</v>
          </cell>
        </row>
        <row r="337">
          <cell r="A337">
            <v>320</v>
          </cell>
          <cell r="B337">
            <v>51044</v>
          </cell>
          <cell r="C337">
            <v>0</v>
          </cell>
          <cell r="D337">
            <v>2876.7965825806332</v>
          </cell>
          <cell r="E337">
            <v>0</v>
          </cell>
          <cell r="F337">
            <v>0</v>
          </cell>
          <cell r="G337">
            <v>0</v>
          </cell>
          <cell r="H337">
            <v>0</v>
          </cell>
          <cell r="I337">
            <v>0</v>
          </cell>
          <cell r="J337">
            <v>52994.575654616274</v>
          </cell>
        </row>
        <row r="338">
          <cell r="A338">
            <v>321</v>
          </cell>
          <cell r="B338">
            <v>51075</v>
          </cell>
          <cell r="C338">
            <v>0</v>
          </cell>
          <cell r="D338">
            <v>2876.7965825806332</v>
          </cell>
          <cell r="E338">
            <v>0</v>
          </cell>
          <cell r="F338">
            <v>0</v>
          </cell>
          <cell r="G338">
            <v>0</v>
          </cell>
          <cell r="H338">
            <v>0</v>
          </cell>
          <cell r="I338">
            <v>0</v>
          </cell>
          <cell r="J338">
            <v>52994.575654616274</v>
          </cell>
        </row>
        <row r="339">
          <cell r="A339">
            <v>322</v>
          </cell>
          <cell r="B339">
            <v>51105</v>
          </cell>
          <cell r="C339">
            <v>0</v>
          </cell>
          <cell r="D339">
            <v>2876.7965825806332</v>
          </cell>
          <cell r="E339">
            <v>0</v>
          </cell>
          <cell r="F339">
            <v>0</v>
          </cell>
          <cell r="G339">
            <v>0</v>
          </cell>
          <cell r="H339">
            <v>0</v>
          </cell>
          <cell r="I339">
            <v>0</v>
          </cell>
          <cell r="J339">
            <v>52994.575654616274</v>
          </cell>
        </row>
        <row r="340">
          <cell r="A340">
            <v>323</v>
          </cell>
          <cell r="B340">
            <v>51136</v>
          </cell>
          <cell r="C340">
            <v>0</v>
          </cell>
          <cell r="D340">
            <v>2876.7965825806332</v>
          </cell>
          <cell r="E340">
            <v>0</v>
          </cell>
          <cell r="F340">
            <v>0</v>
          </cell>
          <cell r="G340">
            <v>0</v>
          </cell>
          <cell r="H340">
            <v>0</v>
          </cell>
          <cell r="I340">
            <v>0</v>
          </cell>
          <cell r="J340">
            <v>52994.575654616274</v>
          </cell>
        </row>
        <row r="341">
          <cell r="A341">
            <v>324</v>
          </cell>
          <cell r="B341">
            <v>51167</v>
          </cell>
          <cell r="C341">
            <v>0</v>
          </cell>
          <cell r="D341">
            <v>2876.7965825806332</v>
          </cell>
          <cell r="E341">
            <v>0</v>
          </cell>
          <cell r="F341">
            <v>0</v>
          </cell>
          <cell r="G341">
            <v>0</v>
          </cell>
          <cell r="H341">
            <v>0</v>
          </cell>
          <cell r="I341">
            <v>0</v>
          </cell>
          <cell r="J341">
            <v>52994.575654616274</v>
          </cell>
        </row>
        <row r="342">
          <cell r="A342">
            <v>325</v>
          </cell>
          <cell r="B342">
            <v>51196</v>
          </cell>
          <cell r="C342">
            <v>0</v>
          </cell>
          <cell r="D342">
            <v>2876.7965825806332</v>
          </cell>
          <cell r="E342">
            <v>0</v>
          </cell>
          <cell r="F342">
            <v>0</v>
          </cell>
          <cell r="G342">
            <v>0</v>
          </cell>
          <cell r="H342">
            <v>0</v>
          </cell>
          <cell r="I342">
            <v>0</v>
          </cell>
          <cell r="J342">
            <v>52994.575654616274</v>
          </cell>
        </row>
        <row r="343">
          <cell r="A343">
            <v>326</v>
          </cell>
          <cell r="B343">
            <v>51227</v>
          </cell>
          <cell r="C343">
            <v>0</v>
          </cell>
          <cell r="D343">
            <v>2876.7965825806332</v>
          </cell>
          <cell r="E343">
            <v>0</v>
          </cell>
          <cell r="F343">
            <v>0</v>
          </cell>
          <cell r="G343">
            <v>0</v>
          </cell>
          <cell r="H343">
            <v>0</v>
          </cell>
          <cell r="I343">
            <v>0</v>
          </cell>
          <cell r="J343">
            <v>52994.575654616274</v>
          </cell>
        </row>
        <row r="344">
          <cell r="A344">
            <v>327</v>
          </cell>
          <cell r="B344">
            <v>51257</v>
          </cell>
          <cell r="C344">
            <v>0</v>
          </cell>
          <cell r="D344">
            <v>2876.7965825806332</v>
          </cell>
          <cell r="E344">
            <v>0</v>
          </cell>
          <cell r="F344">
            <v>0</v>
          </cell>
          <cell r="G344">
            <v>0</v>
          </cell>
          <cell r="H344">
            <v>0</v>
          </cell>
          <cell r="I344">
            <v>0</v>
          </cell>
          <cell r="J344">
            <v>52994.575654616274</v>
          </cell>
        </row>
        <row r="345">
          <cell r="A345">
            <v>328</v>
          </cell>
          <cell r="B345">
            <v>51288</v>
          </cell>
          <cell r="C345">
            <v>0</v>
          </cell>
          <cell r="D345">
            <v>2876.7965825806332</v>
          </cell>
          <cell r="E345">
            <v>0</v>
          </cell>
          <cell r="F345">
            <v>0</v>
          </cell>
          <cell r="G345">
            <v>0</v>
          </cell>
          <cell r="H345">
            <v>0</v>
          </cell>
          <cell r="I345">
            <v>0</v>
          </cell>
          <cell r="J345">
            <v>52994.575654616274</v>
          </cell>
        </row>
        <row r="346">
          <cell r="A346">
            <v>329</v>
          </cell>
          <cell r="B346">
            <v>51318</v>
          </cell>
          <cell r="C346">
            <v>0</v>
          </cell>
          <cell r="D346">
            <v>2876.7965825806332</v>
          </cell>
          <cell r="E346">
            <v>0</v>
          </cell>
          <cell r="F346">
            <v>0</v>
          </cell>
          <cell r="G346">
            <v>0</v>
          </cell>
          <cell r="H346">
            <v>0</v>
          </cell>
          <cell r="I346">
            <v>0</v>
          </cell>
          <cell r="J346">
            <v>52994.575654616274</v>
          </cell>
        </row>
        <row r="347">
          <cell r="A347">
            <v>330</v>
          </cell>
          <cell r="B347">
            <v>51349</v>
          </cell>
          <cell r="C347">
            <v>0</v>
          </cell>
          <cell r="D347">
            <v>2876.7965825806332</v>
          </cell>
          <cell r="E347">
            <v>0</v>
          </cell>
          <cell r="F347">
            <v>0</v>
          </cell>
          <cell r="G347">
            <v>0</v>
          </cell>
          <cell r="H347">
            <v>0</v>
          </cell>
          <cell r="I347">
            <v>0</v>
          </cell>
          <cell r="J347">
            <v>52994.575654616274</v>
          </cell>
        </row>
        <row r="348">
          <cell r="A348">
            <v>331</v>
          </cell>
          <cell r="B348">
            <v>51380</v>
          </cell>
          <cell r="C348">
            <v>0</v>
          </cell>
          <cell r="D348">
            <v>2876.7965825806332</v>
          </cell>
          <cell r="E348">
            <v>0</v>
          </cell>
          <cell r="F348">
            <v>0</v>
          </cell>
          <cell r="G348">
            <v>0</v>
          </cell>
          <cell r="H348">
            <v>0</v>
          </cell>
          <cell r="I348">
            <v>0</v>
          </cell>
          <cell r="J348">
            <v>52994.575654616274</v>
          </cell>
        </row>
        <row r="349">
          <cell r="A349">
            <v>332</v>
          </cell>
          <cell r="B349">
            <v>51410</v>
          </cell>
          <cell r="C349">
            <v>0</v>
          </cell>
          <cell r="D349">
            <v>2876.7965825806332</v>
          </cell>
          <cell r="E349">
            <v>0</v>
          </cell>
          <cell r="F349">
            <v>0</v>
          </cell>
          <cell r="G349">
            <v>0</v>
          </cell>
          <cell r="H349">
            <v>0</v>
          </cell>
          <cell r="I349">
            <v>0</v>
          </cell>
          <cell r="J349">
            <v>52994.575654616274</v>
          </cell>
        </row>
        <row r="350">
          <cell r="A350">
            <v>333</v>
          </cell>
          <cell r="B350">
            <v>51441</v>
          </cell>
          <cell r="C350">
            <v>0</v>
          </cell>
          <cell r="D350">
            <v>2876.7965825806332</v>
          </cell>
          <cell r="E350">
            <v>0</v>
          </cell>
          <cell r="F350">
            <v>0</v>
          </cell>
          <cell r="G350">
            <v>0</v>
          </cell>
          <cell r="H350">
            <v>0</v>
          </cell>
          <cell r="I350">
            <v>0</v>
          </cell>
          <cell r="J350">
            <v>52994.575654616274</v>
          </cell>
        </row>
        <row r="351">
          <cell r="A351">
            <v>334</v>
          </cell>
          <cell r="B351">
            <v>51471</v>
          </cell>
          <cell r="C351">
            <v>0</v>
          </cell>
          <cell r="D351">
            <v>2876.7965825806332</v>
          </cell>
          <cell r="E351">
            <v>0</v>
          </cell>
          <cell r="F351">
            <v>0</v>
          </cell>
          <cell r="G351">
            <v>0</v>
          </cell>
          <cell r="H351">
            <v>0</v>
          </cell>
          <cell r="I351">
            <v>0</v>
          </cell>
          <cell r="J351">
            <v>52994.575654616274</v>
          </cell>
        </row>
        <row r="352">
          <cell r="A352">
            <v>335</v>
          </cell>
          <cell r="B352">
            <v>51502</v>
          </cell>
          <cell r="C352">
            <v>0</v>
          </cell>
          <cell r="D352">
            <v>2876.7965825806332</v>
          </cell>
          <cell r="E352">
            <v>0</v>
          </cell>
          <cell r="F352">
            <v>0</v>
          </cell>
          <cell r="G352">
            <v>0</v>
          </cell>
          <cell r="H352">
            <v>0</v>
          </cell>
          <cell r="I352">
            <v>0</v>
          </cell>
          <cell r="J352">
            <v>52994.575654616274</v>
          </cell>
        </row>
        <row r="353">
          <cell r="A353">
            <v>336</v>
          </cell>
          <cell r="B353">
            <v>51533</v>
          </cell>
          <cell r="C353">
            <v>0</v>
          </cell>
          <cell r="D353">
            <v>2876.7965825806332</v>
          </cell>
          <cell r="E353">
            <v>0</v>
          </cell>
          <cell r="F353">
            <v>0</v>
          </cell>
          <cell r="G353">
            <v>0</v>
          </cell>
          <cell r="H353">
            <v>0</v>
          </cell>
          <cell r="I353">
            <v>0</v>
          </cell>
          <cell r="J353">
            <v>52994.575654616274</v>
          </cell>
        </row>
        <row r="354">
          <cell r="A354">
            <v>337</v>
          </cell>
          <cell r="B354">
            <v>51561</v>
          </cell>
          <cell r="C354">
            <v>0</v>
          </cell>
          <cell r="D354">
            <v>2876.7965825806332</v>
          </cell>
          <cell r="E354">
            <v>0</v>
          </cell>
          <cell r="F354">
            <v>0</v>
          </cell>
          <cell r="G354">
            <v>0</v>
          </cell>
          <cell r="H354">
            <v>0</v>
          </cell>
          <cell r="I354">
            <v>0</v>
          </cell>
          <cell r="J354">
            <v>52994.575654616274</v>
          </cell>
        </row>
        <row r="355">
          <cell r="A355">
            <v>338</v>
          </cell>
          <cell r="B355">
            <v>51592</v>
          </cell>
          <cell r="C355">
            <v>0</v>
          </cell>
          <cell r="D355">
            <v>2876.7965825806332</v>
          </cell>
          <cell r="E355">
            <v>0</v>
          </cell>
          <cell r="F355">
            <v>0</v>
          </cell>
          <cell r="G355">
            <v>0</v>
          </cell>
          <cell r="H355">
            <v>0</v>
          </cell>
          <cell r="I355">
            <v>0</v>
          </cell>
          <cell r="J355">
            <v>52994.575654616274</v>
          </cell>
        </row>
        <row r="356">
          <cell r="A356">
            <v>339</v>
          </cell>
          <cell r="B356">
            <v>51622</v>
          </cell>
          <cell r="C356">
            <v>0</v>
          </cell>
          <cell r="D356">
            <v>2876.7965825806332</v>
          </cell>
          <cell r="E356">
            <v>0</v>
          </cell>
          <cell r="F356">
            <v>0</v>
          </cell>
          <cell r="G356">
            <v>0</v>
          </cell>
          <cell r="H356">
            <v>0</v>
          </cell>
          <cell r="I356">
            <v>0</v>
          </cell>
          <cell r="J356">
            <v>52994.575654616274</v>
          </cell>
        </row>
        <row r="357">
          <cell r="A357">
            <v>340</v>
          </cell>
          <cell r="B357">
            <v>51653</v>
          </cell>
          <cell r="C357">
            <v>0</v>
          </cell>
          <cell r="D357">
            <v>2876.7965825806332</v>
          </cell>
          <cell r="E357">
            <v>0</v>
          </cell>
          <cell r="F357">
            <v>0</v>
          </cell>
          <cell r="G357">
            <v>0</v>
          </cell>
          <cell r="H357">
            <v>0</v>
          </cell>
          <cell r="I357">
            <v>0</v>
          </cell>
          <cell r="J357">
            <v>52994.575654616274</v>
          </cell>
        </row>
        <row r="358">
          <cell r="A358">
            <v>341</v>
          </cell>
          <cell r="B358">
            <v>51683</v>
          </cell>
          <cell r="C358">
            <v>0</v>
          </cell>
          <cell r="D358">
            <v>2876.7965825806332</v>
          </cell>
          <cell r="E358">
            <v>0</v>
          </cell>
          <cell r="F358">
            <v>0</v>
          </cell>
          <cell r="G358">
            <v>0</v>
          </cell>
          <cell r="H358">
            <v>0</v>
          </cell>
          <cell r="I358">
            <v>0</v>
          </cell>
          <cell r="J358">
            <v>52994.575654616274</v>
          </cell>
        </row>
        <row r="359">
          <cell r="A359">
            <v>342</v>
          </cell>
          <cell r="B359">
            <v>51714</v>
          </cell>
          <cell r="C359">
            <v>0</v>
          </cell>
          <cell r="D359">
            <v>2876.7965825806332</v>
          </cell>
          <cell r="E359">
            <v>0</v>
          </cell>
          <cell r="F359">
            <v>0</v>
          </cell>
          <cell r="G359">
            <v>0</v>
          </cell>
          <cell r="H359">
            <v>0</v>
          </cell>
          <cell r="I359">
            <v>0</v>
          </cell>
          <cell r="J359">
            <v>52994.575654616274</v>
          </cell>
        </row>
        <row r="360">
          <cell r="A360">
            <v>343</v>
          </cell>
          <cell r="B360">
            <v>51745</v>
          </cell>
          <cell r="C360">
            <v>0</v>
          </cell>
          <cell r="D360">
            <v>2876.7965825806332</v>
          </cell>
          <cell r="E360">
            <v>0</v>
          </cell>
          <cell r="F360">
            <v>0</v>
          </cell>
          <cell r="G360">
            <v>0</v>
          </cell>
          <cell r="H360">
            <v>0</v>
          </cell>
          <cell r="I360">
            <v>0</v>
          </cell>
          <cell r="J360">
            <v>52994.575654616274</v>
          </cell>
        </row>
        <row r="361">
          <cell r="A361">
            <v>344</v>
          </cell>
          <cell r="B361">
            <v>51775</v>
          </cell>
          <cell r="C361">
            <v>0</v>
          </cell>
          <cell r="D361">
            <v>2876.7965825806332</v>
          </cell>
          <cell r="E361">
            <v>0</v>
          </cell>
          <cell r="F361">
            <v>0</v>
          </cell>
          <cell r="G361">
            <v>0</v>
          </cell>
          <cell r="H361">
            <v>0</v>
          </cell>
          <cell r="I361">
            <v>0</v>
          </cell>
          <cell r="J361">
            <v>52994.575654616274</v>
          </cell>
        </row>
        <row r="362">
          <cell r="A362">
            <v>345</v>
          </cell>
          <cell r="B362">
            <v>51806</v>
          </cell>
          <cell r="C362">
            <v>0</v>
          </cell>
          <cell r="D362">
            <v>2876.7965825806332</v>
          </cell>
          <cell r="E362">
            <v>0</v>
          </cell>
          <cell r="F362">
            <v>0</v>
          </cell>
          <cell r="G362">
            <v>0</v>
          </cell>
          <cell r="H362">
            <v>0</v>
          </cell>
          <cell r="I362">
            <v>0</v>
          </cell>
          <cell r="J362">
            <v>52994.575654616274</v>
          </cell>
        </row>
        <row r="363">
          <cell r="A363">
            <v>346</v>
          </cell>
          <cell r="B363">
            <v>51836</v>
          </cell>
          <cell r="C363">
            <v>0</v>
          </cell>
          <cell r="D363">
            <v>2876.7965825806332</v>
          </cell>
          <cell r="E363">
            <v>0</v>
          </cell>
          <cell r="F363">
            <v>0</v>
          </cell>
          <cell r="G363">
            <v>0</v>
          </cell>
          <cell r="H363">
            <v>0</v>
          </cell>
          <cell r="I363">
            <v>0</v>
          </cell>
          <cell r="J363">
            <v>52994.575654616274</v>
          </cell>
        </row>
        <row r="364">
          <cell r="A364">
            <v>347</v>
          </cell>
          <cell r="B364">
            <v>51867</v>
          </cell>
          <cell r="C364">
            <v>0</v>
          </cell>
          <cell r="D364">
            <v>2876.7965825806332</v>
          </cell>
          <cell r="E364">
            <v>0</v>
          </cell>
          <cell r="F364">
            <v>0</v>
          </cell>
          <cell r="G364">
            <v>0</v>
          </cell>
          <cell r="H364">
            <v>0</v>
          </cell>
          <cell r="I364">
            <v>0</v>
          </cell>
          <cell r="J364">
            <v>52994.575654616274</v>
          </cell>
        </row>
        <row r="365">
          <cell r="A365">
            <v>348</v>
          </cell>
          <cell r="B365">
            <v>51898</v>
          </cell>
          <cell r="C365">
            <v>0</v>
          </cell>
          <cell r="D365">
            <v>2876.7965825806332</v>
          </cell>
          <cell r="E365">
            <v>0</v>
          </cell>
          <cell r="F365">
            <v>0</v>
          </cell>
          <cell r="G365">
            <v>0</v>
          </cell>
          <cell r="H365">
            <v>0</v>
          </cell>
          <cell r="I365">
            <v>0</v>
          </cell>
          <cell r="J365">
            <v>52994.575654616274</v>
          </cell>
        </row>
        <row r="366">
          <cell r="A366">
            <v>349</v>
          </cell>
          <cell r="B366">
            <v>51926</v>
          </cell>
          <cell r="C366">
            <v>0</v>
          </cell>
          <cell r="D366">
            <v>2876.7965825806332</v>
          </cell>
          <cell r="E366">
            <v>0</v>
          </cell>
          <cell r="F366">
            <v>0</v>
          </cell>
          <cell r="G366">
            <v>0</v>
          </cell>
          <cell r="H366">
            <v>0</v>
          </cell>
          <cell r="I366">
            <v>0</v>
          </cell>
          <cell r="J366">
            <v>52994.575654616274</v>
          </cell>
        </row>
        <row r="367">
          <cell r="A367">
            <v>350</v>
          </cell>
          <cell r="B367">
            <v>51957</v>
          </cell>
          <cell r="C367">
            <v>0</v>
          </cell>
          <cell r="D367">
            <v>2876.7965825806332</v>
          </cell>
          <cell r="E367">
            <v>0</v>
          </cell>
          <cell r="F367">
            <v>0</v>
          </cell>
          <cell r="G367">
            <v>0</v>
          </cell>
          <cell r="H367">
            <v>0</v>
          </cell>
          <cell r="I367">
            <v>0</v>
          </cell>
          <cell r="J367">
            <v>52994.575654616274</v>
          </cell>
        </row>
        <row r="368">
          <cell r="A368">
            <v>351</v>
          </cell>
          <cell r="B368">
            <v>51987</v>
          </cell>
          <cell r="C368">
            <v>0</v>
          </cell>
          <cell r="D368">
            <v>2876.7965825806332</v>
          </cell>
          <cell r="E368">
            <v>0</v>
          </cell>
          <cell r="F368">
            <v>0</v>
          </cell>
          <cell r="G368">
            <v>0</v>
          </cell>
          <cell r="H368">
            <v>0</v>
          </cell>
          <cell r="I368">
            <v>0</v>
          </cell>
          <cell r="J368">
            <v>52994.575654616274</v>
          </cell>
        </row>
        <row r="369">
          <cell r="A369">
            <v>352</v>
          </cell>
          <cell r="B369">
            <v>52018</v>
          </cell>
          <cell r="C369">
            <v>0</v>
          </cell>
          <cell r="D369">
            <v>2876.7965825806332</v>
          </cell>
          <cell r="E369">
            <v>0</v>
          </cell>
          <cell r="F369">
            <v>0</v>
          </cell>
          <cell r="G369">
            <v>0</v>
          </cell>
          <cell r="H369">
            <v>0</v>
          </cell>
          <cell r="I369">
            <v>0</v>
          </cell>
          <cell r="J369">
            <v>52994.575654616274</v>
          </cell>
        </row>
        <row r="370">
          <cell r="A370">
            <v>353</v>
          </cell>
          <cell r="B370">
            <v>52048</v>
          </cell>
          <cell r="C370">
            <v>0</v>
          </cell>
          <cell r="D370">
            <v>2876.7965825806332</v>
          </cell>
          <cell r="E370">
            <v>0</v>
          </cell>
          <cell r="F370">
            <v>0</v>
          </cell>
          <cell r="G370">
            <v>0</v>
          </cell>
          <cell r="H370">
            <v>0</v>
          </cell>
          <cell r="I370">
            <v>0</v>
          </cell>
          <cell r="J370">
            <v>52994.575654616274</v>
          </cell>
        </row>
        <row r="371">
          <cell r="A371">
            <v>354</v>
          </cell>
          <cell r="B371">
            <v>52079</v>
          </cell>
          <cell r="C371">
            <v>0</v>
          </cell>
          <cell r="D371">
            <v>2876.7965825806332</v>
          </cell>
          <cell r="E371">
            <v>0</v>
          </cell>
          <cell r="F371">
            <v>0</v>
          </cell>
          <cell r="G371">
            <v>0</v>
          </cell>
          <cell r="H371">
            <v>0</v>
          </cell>
          <cell r="I371">
            <v>0</v>
          </cell>
          <cell r="J371">
            <v>52994.575654616274</v>
          </cell>
        </row>
        <row r="372">
          <cell r="A372">
            <v>355</v>
          </cell>
          <cell r="B372">
            <v>52110</v>
          </cell>
          <cell r="C372">
            <v>0</v>
          </cell>
          <cell r="D372">
            <v>2876.7965825806332</v>
          </cell>
          <cell r="E372">
            <v>0</v>
          </cell>
          <cell r="F372">
            <v>0</v>
          </cell>
          <cell r="G372">
            <v>0</v>
          </cell>
          <cell r="H372">
            <v>0</v>
          </cell>
          <cell r="I372">
            <v>0</v>
          </cell>
          <cell r="J372">
            <v>52994.575654616274</v>
          </cell>
        </row>
        <row r="373">
          <cell r="A373">
            <v>356</v>
          </cell>
          <cell r="B373">
            <v>52140</v>
          </cell>
          <cell r="C373">
            <v>0</v>
          </cell>
          <cell r="D373">
            <v>2876.7965825806332</v>
          </cell>
          <cell r="E373">
            <v>0</v>
          </cell>
          <cell r="F373">
            <v>0</v>
          </cell>
          <cell r="G373">
            <v>0</v>
          </cell>
          <cell r="H373">
            <v>0</v>
          </cell>
          <cell r="I373">
            <v>0</v>
          </cell>
          <cell r="J373">
            <v>52994.575654616274</v>
          </cell>
        </row>
        <row r="374">
          <cell r="A374">
            <v>357</v>
          </cell>
          <cell r="B374">
            <v>52171</v>
          </cell>
          <cell r="C374">
            <v>0</v>
          </cell>
          <cell r="D374">
            <v>2876.7965825806332</v>
          </cell>
          <cell r="E374">
            <v>0</v>
          </cell>
          <cell r="F374">
            <v>0</v>
          </cell>
          <cell r="G374">
            <v>0</v>
          </cell>
          <cell r="H374">
            <v>0</v>
          </cell>
          <cell r="I374">
            <v>0</v>
          </cell>
          <cell r="J374">
            <v>52994.575654616274</v>
          </cell>
        </row>
        <row r="375">
          <cell r="A375">
            <v>358</v>
          </cell>
          <cell r="B375">
            <v>52201</v>
          </cell>
          <cell r="C375">
            <v>0</v>
          </cell>
          <cell r="D375">
            <v>2876.7965825806332</v>
          </cell>
          <cell r="E375">
            <v>0</v>
          </cell>
          <cell r="F375">
            <v>0</v>
          </cell>
          <cell r="G375">
            <v>0</v>
          </cell>
          <cell r="H375">
            <v>0</v>
          </cell>
          <cell r="I375">
            <v>0</v>
          </cell>
          <cell r="J375">
            <v>52994.575654616274</v>
          </cell>
        </row>
        <row r="376">
          <cell r="A376">
            <v>359</v>
          </cell>
          <cell r="B376">
            <v>52232</v>
          </cell>
          <cell r="C376">
            <v>0</v>
          </cell>
          <cell r="D376">
            <v>2876.7965825806332</v>
          </cell>
          <cell r="E376">
            <v>0</v>
          </cell>
          <cell r="F376">
            <v>0</v>
          </cell>
          <cell r="G376">
            <v>0</v>
          </cell>
          <cell r="H376">
            <v>0</v>
          </cell>
          <cell r="I376">
            <v>0</v>
          </cell>
          <cell r="J376">
            <v>52994.575654616274</v>
          </cell>
        </row>
        <row r="377">
          <cell r="A377">
            <v>360</v>
          </cell>
          <cell r="B377">
            <v>52263</v>
          </cell>
          <cell r="C377">
            <v>0</v>
          </cell>
          <cell r="D377">
            <v>2876.7965825806332</v>
          </cell>
          <cell r="E377">
            <v>0</v>
          </cell>
          <cell r="F377">
            <v>0</v>
          </cell>
          <cell r="G377">
            <v>0</v>
          </cell>
          <cell r="H377">
            <v>0</v>
          </cell>
          <cell r="I377">
            <v>0</v>
          </cell>
          <cell r="J377">
            <v>52994.575654616274</v>
          </cell>
        </row>
        <row r="378">
          <cell r="A378">
            <v>361</v>
          </cell>
          <cell r="B378">
            <v>52291</v>
          </cell>
          <cell r="C378">
            <v>0</v>
          </cell>
          <cell r="D378">
            <v>2876.7965825806332</v>
          </cell>
          <cell r="E378">
            <v>0</v>
          </cell>
          <cell r="F378">
            <v>0</v>
          </cell>
          <cell r="G378">
            <v>0</v>
          </cell>
          <cell r="H378">
            <v>0</v>
          </cell>
          <cell r="I378">
            <v>0</v>
          </cell>
          <cell r="J378">
            <v>52994.575654616274</v>
          </cell>
        </row>
        <row r="379">
          <cell r="A379">
            <v>362</v>
          </cell>
          <cell r="B379">
            <v>52322</v>
          </cell>
          <cell r="C379">
            <v>0</v>
          </cell>
          <cell r="D379">
            <v>2876.7965825806332</v>
          </cell>
          <cell r="E379">
            <v>0</v>
          </cell>
          <cell r="F379">
            <v>0</v>
          </cell>
          <cell r="G379">
            <v>0</v>
          </cell>
          <cell r="H379">
            <v>0</v>
          </cell>
          <cell r="I379">
            <v>0</v>
          </cell>
          <cell r="J379">
            <v>52994.575654616274</v>
          </cell>
        </row>
        <row r="380">
          <cell r="A380">
            <v>363</v>
          </cell>
          <cell r="B380">
            <v>52352</v>
          </cell>
          <cell r="C380">
            <v>0</v>
          </cell>
          <cell r="D380">
            <v>2876.7965825806332</v>
          </cell>
          <cell r="E380">
            <v>0</v>
          </cell>
          <cell r="F380">
            <v>0</v>
          </cell>
          <cell r="G380">
            <v>0</v>
          </cell>
          <cell r="H380">
            <v>0</v>
          </cell>
          <cell r="I380">
            <v>0</v>
          </cell>
          <cell r="J380">
            <v>52994.575654616274</v>
          </cell>
        </row>
        <row r="381">
          <cell r="A381">
            <v>364</v>
          </cell>
          <cell r="B381">
            <v>52383</v>
          </cell>
          <cell r="C381">
            <v>0</v>
          </cell>
          <cell r="D381">
            <v>2876.7965825806332</v>
          </cell>
          <cell r="E381">
            <v>0</v>
          </cell>
          <cell r="F381">
            <v>0</v>
          </cell>
          <cell r="G381">
            <v>0</v>
          </cell>
          <cell r="H381">
            <v>0</v>
          </cell>
          <cell r="I381">
            <v>0</v>
          </cell>
          <cell r="J381">
            <v>52994.575654616274</v>
          </cell>
        </row>
        <row r="382">
          <cell r="A382">
            <v>365</v>
          </cell>
          <cell r="B382">
            <v>52413</v>
          </cell>
          <cell r="C382">
            <v>0</v>
          </cell>
          <cell r="D382">
            <v>2876.7965825806332</v>
          </cell>
          <cell r="E382">
            <v>0</v>
          </cell>
          <cell r="F382">
            <v>0</v>
          </cell>
          <cell r="G382">
            <v>0</v>
          </cell>
          <cell r="H382">
            <v>0</v>
          </cell>
          <cell r="I382">
            <v>0</v>
          </cell>
          <cell r="J382">
            <v>52994.575654616274</v>
          </cell>
        </row>
        <row r="383">
          <cell r="A383">
            <v>366</v>
          </cell>
          <cell r="B383">
            <v>52444</v>
          </cell>
          <cell r="C383">
            <v>0</v>
          </cell>
          <cell r="D383">
            <v>2876.7965825806332</v>
          </cell>
          <cell r="E383">
            <v>0</v>
          </cell>
          <cell r="F383">
            <v>0</v>
          </cell>
          <cell r="G383">
            <v>0</v>
          </cell>
          <cell r="H383">
            <v>0</v>
          </cell>
          <cell r="I383">
            <v>0</v>
          </cell>
          <cell r="J383">
            <v>52994.575654616274</v>
          </cell>
        </row>
        <row r="384">
          <cell r="A384">
            <v>367</v>
          </cell>
          <cell r="B384">
            <v>52475</v>
          </cell>
          <cell r="C384">
            <v>0</v>
          </cell>
          <cell r="D384">
            <v>2876.7965825806332</v>
          </cell>
          <cell r="E384">
            <v>0</v>
          </cell>
          <cell r="F384">
            <v>0</v>
          </cell>
          <cell r="G384">
            <v>0</v>
          </cell>
          <cell r="H384">
            <v>0</v>
          </cell>
          <cell r="I384">
            <v>0</v>
          </cell>
          <cell r="J384">
            <v>52994.575654616274</v>
          </cell>
        </row>
        <row r="385">
          <cell r="A385">
            <v>368</v>
          </cell>
          <cell r="B385">
            <v>52505</v>
          </cell>
          <cell r="C385">
            <v>0</v>
          </cell>
          <cell r="D385">
            <v>2876.7965825806332</v>
          </cell>
          <cell r="E385">
            <v>0</v>
          </cell>
          <cell r="F385">
            <v>0</v>
          </cell>
          <cell r="G385">
            <v>0</v>
          </cell>
          <cell r="H385">
            <v>0</v>
          </cell>
          <cell r="I385">
            <v>0</v>
          </cell>
          <cell r="J385">
            <v>52994.575654616274</v>
          </cell>
        </row>
        <row r="386">
          <cell r="A386">
            <v>369</v>
          </cell>
          <cell r="B386">
            <v>52536</v>
          </cell>
          <cell r="C386">
            <v>0</v>
          </cell>
          <cell r="D386">
            <v>2876.7965825806332</v>
          </cell>
          <cell r="E386">
            <v>0</v>
          </cell>
          <cell r="F386">
            <v>0</v>
          </cell>
          <cell r="G386">
            <v>0</v>
          </cell>
          <cell r="H386">
            <v>0</v>
          </cell>
          <cell r="I386">
            <v>0</v>
          </cell>
          <cell r="J386">
            <v>52994.575654616274</v>
          </cell>
        </row>
        <row r="387">
          <cell r="A387">
            <v>370</v>
          </cell>
          <cell r="B387">
            <v>52566</v>
          </cell>
          <cell r="C387">
            <v>0</v>
          </cell>
          <cell r="D387">
            <v>2876.7965825806332</v>
          </cell>
          <cell r="E387">
            <v>0</v>
          </cell>
          <cell r="F387">
            <v>0</v>
          </cell>
          <cell r="G387">
            <v>0</v>
          </cell>
          <cell r="H387">
            <v>0</v>
          </cell>
          <cell r="I387">
            <v>0</v>
          </cell>
          <cell r="J387">
            <v>52994.575654616274</v>
          </cell>
        </row>
        <row r="388">
          <cell r="A388">
            <v>371</v>
          </cell>
          <cell r="B388">
            <v>52597</v>
          </cell>
          <cell r="C388">
            <v>0</v>
          </cell>
          <cell r="D388">
            <v>2876.7965825806332</v>
          </cell>
          <cell r="E388">
            <v>0</v>
          </cell>
          <cell r="F388">
            <v>0</v>
          </cell>
          <cell r="G388">
            <v>0</v>
          </cell>
          <cell r="H388">
            <v>0</v>
          </cell>
          <cell r="I388">
            <v>0</v>
          </cell>
          <cell r="J388">
            <v>52994.575654616274</v>
          </cell>
        </row>
        <row r="389">
          <cell r="A389">
            <v>372</v>
          </cell>
          <cell r="B389">
            <v>52628</v>
          </cell>
          <cell r="C389">
            <v>0</v>
          </cell>
          <cell r="D389">
            <v>2876.7965825806332</v>
          </cell>
          <cell r="E389">
            <v>0</v>
          </cell>
          <cell r="F389">
            <v>0</v>
          </cell>
          <cell r="G389">
            <v>0</v>
          </cell>
          <cell r="H389">
            <v>0</v>
          </cell>
          <cell r="I389">
            <v>0</v>
          </cell>
          <cell r="J389">
            <v>52994.575654616274</v>
          </cell>
        </row>
        <row r="390">
          <cell r="A390">
            <v>373</v>
          </cell>
          <cell r="B390">
            <v>52657</v>
          </cell>
          <cell r="C390">
            <v>0</v>
          </cell>
          <cell r="D390">
            <v>2876.7965825806332</v>
          </cell>
          <cell r="E390">
            <v>0</v>
          </cell>
          <cell r="F390">
            <v>0</v>
          </cell>
          <cell r="G390">
            <v>0</v>
          </cell>
          <cell r="H390">
            <v>0</v>
          </cell>
          <cell r="I390">
            <v>0</v>
          </cell>
          <cell r="J390">
            <v>52994.575654616274</v>
          </cell>
        </row>
        <row r="391">
          <cell r="A391">
            <v>374</v>
          </cell>
          <cell r="B391">
            <v>52688</v>
          </cell>
          <cell r="C391">
            <v>0</v>
          </cell>
          <cell r="D391">
            <v>2876.7965825806332</v>
          </cell>
          <cell r="E391">
            <v>0</v>
          </cell>
          <cell r="F391">
            <v>0</v>
          </cell>
          <cell r="G391">
            <v>0</v>
          </cell>
          <cell r="H391">
            <v>0</v>
          </cell>
          <cell r="I391">
            <v>0</v>
          </cell>
          <cell r="J391">
            <v>52994.575654616274</v>
          </cell>
        </row>
        <row r="392">
          <cell r="A392">
            <v>375</v>
          </cell>
          <cell r="B392">
            <v>52718</v>
          </cell>
          <cell r="C392">
            <v>0</v>
          </cell>
          <cell r="D392">
            <v>2876.7965825806332</v>
          </cell>
          <cell r="E392">
            <v>0</v>
          </cell>
          <cell r="F392">
            <v>0</v>
          </cell>
          <cell r="G392">
            <v>0</v>
          </cell>
          <cell r="H392">
            <v>0</v>
          </cell>
          <cell r="I392">
            <v>0</v>
          </cell>
          <cell r="J392">
            <v>52994.575654616274</v>
          </cell>
        </row>
        <row r="393">
          <cell r="A393">
            <v>376</v>
          </cell>
          <cell r="B393">
            <v>52749</v>
          </cell>
          <cell r="C393">
            <v>0</v>
          </cell>
          <cell r="D393">
            <v>2876.7965825806332</v>
          </cell>
          <cell r="E393">
            <v>0</v>
          </cell>
          <cell r="F393">
            <v>0</v>
          </cell>
          <cell r="G393">
            <v>0</v>
          </cell>
          <cell r="H393">
            <v>0</v>
          </cell>
          <cell r="I393">
            <v>0</v>
          </cell>
          <cell r="J393">
            <v>52994.575654616274</v>
          </cell>
        </row>
        <row r="394">
          <cell r="A394">
            <v>377</v>
          </cell>
          <cell r="B394">
            <v>52779</v>
          </cell>
          <cell r="C394">
            <v>0</v>
          </cell>
          <cell r="D394">
            <v>2876.7965825806332</v>
          </cell>
          <cell r="E394">
            <v>0</v>
          </cell>
          <cell r="F394">
            <v>0</v>
          </cell>
          <cell r="G394">
            <v>0</v>
          </cell>
          <cell r="H394">
            <v>0</v>
          </cell>
          <cell r="I394">
            <v>0</v>
          </cell>
          <cell r="J394">
            <v>52994.575654616274</v>
          </cell>
        </row>
        <row r="395">
          <cell r="A395">
            <v>378</v>
          </cell>
          <cell r="B395">
            <v>52810</v>
          </cell>
          <cell r="C395">
            <v>0</v>
          </cell>
          <cell r="D395">
            <v>2876.7965825806332</v>
          </cell>
          <cell r="E395">
            <v>0</v>
          </cell>
          <cell r="F395">
            <v>0</v>
          </cell>
          <cell r="G395">
            <v>0</v>
          </cell>
          <cell r="H395">
            <v>0</v>
          </cell>
          <cell r="I395">
            <v>0</v>
          </cell>
          <cell r="J395">
            <v>52994.575654616274</v>
          </cell>
        </row>
        <row r="396">
          <cell r="A396">
            <v>379</v>
          </cell>
          <cell r="B396">
            <v>52841</v>
          </cell>
          <cell r="C396">
            <v>0</v>
          </cell>
          <cell r="D396">
            <v>2876.7965825806332</v>
          </cell>
          <cell r="E396">
            <v>0</v>
          </cell>
          <cell r="F396">
            <v>0</v>
          </cell>
          <cell r="G396">
            <v>0</v>
          </cell>
          <cell r="H396">
            <v>0</v>
          </cell>
          <cell r="I396">
            <v>0</v>
          </cell>
          <cell r="J396">
            <v>52994.575654616274</v>
          </cell>
        </row>
        <row r="397">
          <cell r="A397">
            <v>380</v>
          </cell>
          <cell r="B397">
            <v>52871</v>
          </cell>
          <cell r="C397">
            <v>0</v>
          </cell>
          <cell r="D397">
            <v>2876.7965825806332</v>
          </cell>
          <cell r="E397">
            <v>0</v>
          </cell>
          <cell r="F397">
            <v>0</v>
          </cell>
          <cell r="G397">
            <v>0</v>
          </cell>
          <cell r="H397">
            <v>0</v>
          </cell>
          <cell r="I397">
            <v>0</v>
          </cell>
          <cell r="J397">
            <v>52994.575654616274</v>
          </cell>
        </row>
        <row r="398">
          <cell r="A398">
            <v>381</v>
          </cell>
          <cell r="B398">
            <v>52902</v>
          </cell>
          <cell r="C398">
            <v>0</v>
          </cell>
          <cell r="D398">
            <v>2876.7965825806332</v>
          </cell>
          <cell r="E398">
            <v>0</v>
          </cell>
          <cell r="F398">
            <v>0</v>
          </cell>
          <cell r="G398">
            <v>0</v>
          </cell>
          <cell r="H398">
            <v>0</v>
          </cell>
          <cell r="I398">
            <v>0</v>
          </cell>
          <cell r="J398">
            <v>52994.575654616274</v>
          </cell>
        </row>
        <row r="399">
          <cell r="A399">
            <v>382</v>
          </cell>
          <cell r="B399">
            <v>52932</v>
          </cell>
          <cell r="C399">
            <v>0</v>
          </cell>
          <cell r="D399">
            <v>2876.7965825806332</v>
          </cell>
          <cell r="E399">
            <v>0</v>
          </cell>
          <cell r="F399">
            <v>0</v>
          </cell>
          <cell r="G399">
            <v>0</v>
          </cell>
          <cell r="H399">
            <v>0</v>
          </cell>
          <cell r="I399">
            <v>0</v>
          </cell>
          <cell r="J399">
            <v>52994.575654616274</v>
          </cell>
        </row>
        <row r="400">
          <cell r="A400">
            <v>383</v>
          </cell>
          <cell r="B400">
            <v>52963</v>
          </cell>
          <cell r="C400">
            <v>0</v>
          </cell>
          <cell r="D400">
            <v>2876.7965825806332</v>
          </cell>
          <cell r="E400">
            <v>0</v>
          </cell>
          <cell r="F400">
            <v>0</v>
          </cell>
          <cell r="G400">
            <v>0</v>
          </cell>
          <cell r="H400">
            <v>0</v>
          </cell>
          <cell r="I400">
            <v>0</v>
          </cell>
          <cell r="J400">
            <v>52994.575654616274</v>
          </cell>
        </row>
        <row r="401">
          <cell r="A401">
            <v>384</v>
          </cell>
          <cell r="B401">
            <v>52994</v>
          </cell>
          <cell r="C401">
            <v>0</v>
          </cell>
          <cell r="D401">
            <v>2876.7965825806332</v>
          </cell>
          <cell r="E401">
            <v>0</v>
          </cell>
          <cell r="F401">
            <v>0</v>
          </cell>
          <cell r="G401">
            <v>0</v>
          </cell>
          <cell r="H401">
            <v>0</v>
          </cell>
          <cell r="I401">
            <v>0</v>
          </cell>
          <cell r="J401">
            <v>52994.575654616274</v>
          </cell>
        </row>
        <row r="402">
          <cell r="A402">
            <v>385</v>
          </cell>
          <cell r="B402">
            <v>53022</v>
          </cell>
          <cell r="C402">
            <v>0</v>
          </cell>
          <cell r="D402">
            <v>2876.7965825806332</v>
          </cell>
          <cell r="E402">
            <v>0</v>
          </cell>
          <cell r="F402">
            <v>0</v>
          </cell>
          <cell r="G402">
            <v>0</v>
          </cell>
          <cell r="H402">
            <v>0</v>
          </cell>
          <cell r="I402">
            <v>0</v>
          </cell>
          <cell r="J402">
            <v>52994.575654616274</v>
          </cell>
        </row>
        <row r="403">
          <cell r="A403">
            <v>386</v>
          </cell>
          <cell r="B403">
            <v>53053</v>
          </cell>
          <cell r="C403">
            <v>0</v>
          </cell>
          <cell r="D403">
            <v>2876.7965825806332</v>
          </cell>
          <cell r="E403">
            <v>0</v>
          </cell>
          <cell r="F403">
            <v>0</v>
          </cell>
          <cell r="G403">
            <v>0</v>
          </cell>
          <cell r="H403">
            <v>0</v>
          </cell>
          <cell r="I403">
            <v>0</v>
          </cell>
          <cell r="J403">
            <v>52994.575654616274</v>
          </cell>
        </row>
        <row r="404">
          <cell r="A404">
            <v>387</v>
          </cell>
          <cell r="B404">
            <v>53083</v>
          </cell>
          <cell r="C404">
            <v>0</v>
          </cell>
          <cell r="D404">
            <v>2876.7965825806332</v>
          </cell>
          <cell r="E404">
            <v>0</v>
          </cell>
          <cell r="F404">
            <v>0</v>
          </cell>
          <cell r="G404">
            <v>0</v>
          </cell>
          <cell r="H404">
            <v>0</v>
          </cell>
          <cell r="I404">
            <v>0</v>
          </cell>
          <cell r="J404">
            <v>52994.575654616274</v>
          </cell>
        </row>
        <row r="405">
          <cell r="A405">
            <v>388</v>
          </cell>
          <cell r="B405">
            <v>53114</v>
          </cell>
          <cell r="C405">
            <v>0</v>
          </cell>
          <cell r="D405">
            <v>2876.7965825806332</v>
          </cell>
          <cell r="E405">
            <v>0</v>
          </cell>
          <cell r="F405">
            <v>0</v>
          </cell>
          <cell r="G405">
            <v>0</v>
          </cell>
          <cell r="H405">
            <v>0</v>
          </cell>
          <cell r="I405">
            <v>0</v>
          </cell>
          <cell r="J405">
            <v>52994.575654616274</v>
          </cell>
        </row>
        <row r="406">
          <cell r="A406">
            <v>389</v>
          </cell>
          <cell r="B406">
            <v>53144</v>
          </cell>
          <cell r="C406">
            <v>0</v>
          </cell>
          <cell r="D406">
            <v>2876.7965825806332</v>
          </cell>
          <cell r="E406">
            <v>0</v>
          </cell>
          <cell r="F406">
            <v>0</v>
          </cell>
          <cell r="G406">
            <v>0</v>
          </cell>
          <cell r="H406">
            <v>0</v>
          </cell>
          <cell r="I406">
            <v>0</v>
          </cell>
          <cell r="J406">
            <v>52994.575654616274</v>
          </cell>
        </row>
        <row r="407">
          <cell r="A407">
            <v>390</v>
          </cell>
          <cell r="B407">
            <v>53175</v>
          </cell>
          <cell r="C407">
            <v>0</v>
          </cell>
          <cell r="D407">
            <v>2876.7965825806332</v>
          </cell>
          <cell r="E407">
            <v>0</v>
          </cell>
          <cell r="F407">
            <v>0</v>
          </cell>
          <cell r="G407">
            <v>0</v>
          </cell>
          <cell r="H407">
            <v>0</v>
          </cell>
          <cell r="I407">
            <v>0</v>
          </cell>
          <cell r="J407">
            <v>52994.575654616274</v>
          </cell>
        </row>
        <row r="408">
          <cell r="A408">
            <v>391</v>
          </cell>
          <cell r="B408">
            <v>53206</v>
          </cell>
          <cell r="C408">
            <v>0</v>
          </cell>
          <cell r="D408">
            <v>2876.7965825806332</v>
          </cell>
          <cell r="E408">
            <v>0</v>
          </cell>
          <cell r="F408">
            <v>0</v>
          </cell>
          <cell r="G408">
            <v>0</v>
          </cell>
          <cell r="H408">
            <v>0</v>
          </cell>
          <cell r="I408">
            <v>0</v>
          </cell>
          <cell r="J408">
            <v>52994.575654616274</v>
          </cell>
        </row>
        <row r="409">
          <cell r="A409">
            <v>392</v>
          </cell>
          <cell r="B409">
            <v>53236</v>
          </cell>
          <cell r="C409">
            <v>0</v>
          </cell>
          <cell r="D409">
            <v>2876.7965825806332</v>
          </cell>
          <cell r="E409">
            <v>0</v>
          </cell>
          <cell r="F409">
            <v>0</v>
          </cell>
          <cell r="G409">
            <v>0</v>
          </cell>
          <cell r="H409">
            <v>0</v>
          </cell>
          <cell r="I409">
            <v>0</v>
          </cell>
          <cell r="J409">
            <v>52994.575654616274</v>
          </cell>
        </row>
        <row r="410">
          <cell r="A410">
            <v>393</v>
          </cell>
          <cell r="B410">
            <v>53267</v>
          </cell>
          <cell r="C410">
            <v>0</v>
          </cell>
          <cell r="D410">
            <v>2876.7965825806332</v>
          </cell>
          <cell r="E410">
            <v>0</v>
          </cell>
          <cell r="F410">
            <v>0</v>
          </cell>
          <cell r="G410">
            <v>0</v>
          </cell>
          <cell r="H410">
            <v>0</v>
          </cell>
          <cell r="I410">
            <v>0</v>
          </cell>
          <cell r="J410">
            <v>52994.575654616274</v>
          </cell>
        </row>
        <row r="411">
          <cell r="A411">
            <v>394</v>
          </cell>
          <cell r="B411">
            <v>53297</v>
          </cell>
          <cell r="C411">
            <v>0</v>
          </cell>
          <cell r="D411">
            <v>2876.7965825806332</v>
          </cell>
          <cell r="E411">
            <v>0</v>
          </cell>
          <cell r="F411">
            <v>0</v>
          </cell>
          <cell r="G411">
            <v>0</v>
          </cell>
          <cell r="H411">
            <v>0</v>
          </cell>
          <cell r="I411">
            <v>0</v>
          </cell>
          <cell r="J411">
            <v>52994.575654616274</v>
          </cell>
        </row>
        <row r="412">
          <cell r="A412">
            <v>395</v>
          </cell>
          <cell r="B412">
            <v>53328</v>
          </cell>
          <cell r="C412">
            <v>0</v>
          </cell>
          <cell r="D412">
            <v>2876.7965825806332</v>
          </cell>
          <cell r="E412">
            <v>0</v>
          </cell>
          <cell r="F412">
            <v>0</v>
          </cell>
          <cell r="G412">
            <v>0</v>
          </cell>
          <cell r="H412">
            <v>0</v>
          </cell>
          <cell r="I412">
            <v>0</v>
          </cell>
          <cell r="J412">
            <v>52994.575654616274</v>
          </cell>
        </row>
        <row r="413">
          <cell r="A413">
            <v>396</v>
          </cell>
          <cell r="B413">
            <v>53359</v>
          </cell>
          <cell r="C413">
            <v>0</v>
          </cell>
          <cell r="D413">
            <v>2876.7965825806332</v>
          </cell>
          <cell r="E413">
            <v>0</v>
          </cell>
          <cell r="F413">
            <v>0</v>
          </cell>
          <cell r="G413">
            <v>0</v>
          </cell>
          <cell r="H413">
            <v>0</v>
          </cell>
          <cell r="I413">
            <v>0</v>
          </cell>
          <cell r="J413">
            <v>52994.575654616274</v>
          </cell>
        </row>
        <row r="414">
          <cell r="A414">
            <v>397</v>
          </cell>
          <cell r="B414">
            <v>53387</v>
          </cell>
          <cell r="C414">
            <v>0</v>
          </cell>
          <cell r="D414">
            <v>2876.7965825806332</v>
          </cell>
          <cell r="E414">
            <v>0</v>
          </cell>
          <cell r="F414">
            <v>0</v>
          </cell>
          <cell r="G414">
            <v>0</v>
          </cell>
          <cell r="H414">
            <v>0</v>
          </cell>
          <cell r="I414">
            <v>0</v>
          </cell>
          <cell r="J414">
            <v>52994.575654616274</v>
          </cell>
        </row>
        <row r="415">
          <cell r="A415">
            <v>398</v>
          </cell>
          <cell r="B415">
            <v>53418</v>
          </cell>
          <cell r="C415">
            <v>0</v>
          </cell>
          <cell r="D415">
            <v>2876.7965825806332</v>
          </cell>
          <cell r="E415">
            <v>0</v>
          </cell>
          <cell r="F415">
            <v>0</v>
          </cell>
          <cell r="G415">
            <v>0</v>
          </cell>
          <cell r="H415">
            <v>0</v>
          </cell>
          <cell r="I415">
            <v>0</v>
          </cell>
          <cell r="J415">
            <v>52994.575654616274</v>
          </cell>
        </row>
        <row r="416">
          <cell r="A416">
            <v>399</v>
          </cell>
          <cell r="B416">
            <v>53448</v>
          </cell>
          <cell r="C416">
            <v>0</v>
          </cell>
          <cell r="D416">
            <v>2876.7965825806332</v>
          </cell>
          <cell r="E416">
            <v>0</v>
          </cell>
          <cell r="F416">
            <v>0</v>
          </cell>
          <cell r="G416">
            <v>0</v>
          </cell>
          <cell r="H416">
            <v>0</v>
          </cell>
          <cell r="I416">
            <v>0</v>
          </cell>
          <cell r="J416">
            <v>52994.575654616274</v>
          </cell>
        </row>
        <row r="417">
          <cell r="A417">
            <v>400</v>
          </cell>
          <cell r="B417">
            <v>53479</v>
          </cell>
          <cell r="C417">
            <v>0</v>
          </cell>
          <cell r="D417">
            <v>2876.7965825806332</v>
          </cell>
          <cell r="E417">
            <v>0</v>
          </cell>
          <cell r="F417">
            <v>0</v>
          </cell>
          <cell r="G417">
            <v>0</v>
          </cell>
          <cell r="H417">
            <v>0</v>
          </cell>
          <cell r="I417">
            <v>0</v>
          </cell>
          <cell r="J417">
            <v>52994.575654616274</v>
          </cell>
        </row>
        <row r="418">
          <cell r="A418">
            <v>401</v>
          </cell>
          <cell r="B418">
            <v>53509</v>
          </cell>
          <cell r="C418">
            <v>0</v>
          </cell>
          <cell r="D418">
            <v>2876.7965825806332</v>
          </cell>
          <cell r="E418">
            <v>0</v>
          </cell>
          <cell r="F418">
            <v>0</v>
          </cell>
          <cell r="G418">
            <v>0</v>
          </cell>
          <cell r="H418">
            <v>0</v>
          </cell>
          <cell r="I418">
            <v>0</v>
          </cell>
          <cell r="J418">
            <v>52994.575654616274</v>
          </cell>
        </row>
        <row r="419">
          <cell r="A419">
            <v>402</v>
          </cell>
          <cell r="B419">
            <v>53540</v>
          </cell>
          <cell r="C419">
            <v>0</v>
          </cell>
          <cell r="D419">
            <v>2876.7965825806332</v>
          </cell>
          <cell r="E419">
            <v>0</v>
          </cell>
          <cell r="F419">
            <v>0</v>
          </cell>
          <cell r="G419">
            <v>0</v>
          </cell>
          <cell r="H419">
            <v>0</v>
          </cell>
          <cell r="I419">
            <v>0</v>
          </cell>
          <cell r="J419">
            <v>52994.575654616274</v>
          </cell>
        </row>
        <row r="420">
          <cell r="A420">
            <v>403</v>
          </cell>
          <cell r="B420">
            <v>53571</v>
          </cell>
          <cell r="C420">
            <v>0</v>
          </cell>
          <cell r="D420">
            <v>2876.7965825806332</v>
          </cell>
          <cell r="E420">
            <v>0</v>
          </cell>
          <cell r="F420">
            <v>0</v>
          </cell>
          <cell r="G420">
            <v>0</v>
          </cell>
          <cell r="H420">
            <v>0</v>
          </cell>
          <cell r="I420">
            <v>0</v>
          </cell>
          <cell r="J420">
            <v>52994.575654616274</v>
          </cell>
        </row>
        <row r="421">
          <cell r="A421">
            <v>404</v>
          </cell>
          <cell r="B421">
            <v>53601</v>
          </cell>
          <cell r="C421">
            <v>0</v>
          </cell>
          <cell r="D421">
            <v>2876.7965825806332</v>
          </cell>
          <cell r="E421">
            <v>0</v>
          </cell>
          <cell r="F421">
            <v>0</v>
          </cell>
          <cell r="G421">
            <v>0</v>
          </cell>
          <cell r="H421">
            <v>0</v>
          </cell>
          <cell r="I421">
            <v>0</v>
          </cell>
          <cell r="J421">
            <v>52994.575654616274</v>
          </cell>
        </row>
        <row r="422">
          <cell r="A422">
            <v>405</v>
          </cell>
          <cell r="B422">
            <v>53632</v>
          </cell>
          <cell r="C422">
            <v>0</v>
          </cell>
          <cell r="D422">
            <v>2876.7965825806332</v>
          </cell>
          <cell r="E422">
            <v>0</v>
          </cell>
          <cell r="F422">
            <v>0</v>
          </cell>
          <cell r="G422">
            <v>0</v>
          </cell>
          <cell r="H422">
            <v>0</v>
          </cell>
          <cell r="I422">
            <v>0</v>
          </cell>
          <cell r="J422">
            <v>52994.575654616274</v>
          </cell>
        </row>
        <row r="423">
          <cell r="A423">
            <v>406</v>
          </cell>
          <cell r="B423">
            <v>53662</v>
          </cell>
          <cell r="C423">
            <v>0</v>
          </cell>
          <cell r="D423">
            <v>2876.7965825806332</v>
          </cell>
          <cell r="E423">
            <v>0</v>
          </cell>
          <cell r="F423">
            <v>0</v>
          </cell>
          <cell r="G423">
            <v>0</v>
          </cell>
          <cell r="H423">
            <v>0</v>
          </cell>
          <cell r="I423">
            <v>0</v>
          </cell>
          <cell r="J423">
            <v>52994.575654616274</v>
          </cell>
        </row>
        <row r="424">
          <cell r="A424">
            <v>407</v>
          </cell>
          <cell r="B424">
            <v>53693</v>
          </cell>
          <cell r="C424">
            <v>0</v>
          </cell>
          <cell r="D424">
            <v>2876.7965825806332</v>
          </cell>
          <cell r="E424">
            <v>0</v>
          </cell>
          <cell r="F424">
            <v>0</v>
          </cell>
          <cell r="G424">
            <v>0</v>
          </cell>
          <cell r="H424">
            <v>0</v>
          </cell>
          <cell r="I424">
            <v>0</v>
          </cell>
          <cell r="J424">
            <v>52994.575654616274</v>
          </cell>
        </row>
        <row r="425">
          <cell r="A425">
            <v>408</v>
          </cell>
          <cell r="B425">
            <v>53724</v>
          </cell>
          <cell r="C425">
            <v>0</v>
          </cell>
          <cell r="D425">
            <v>2876.7965825806332</v>
          </cell>
          <cell r="E425">
            <v>0</v>
          </cell>
          <cell r="F425">
            <v>0</v>
          </cell>
          <cell r="G425">
            <v>0</v>
          </cell>
          <cell r="H425">
            <v>0</v>
          </cell>
          <cell r="I425">
            <v>0</v>
          </cell>
          <cell r="J425">
            <v>52994.575654616274</v>
          </cell>
        </row>
        <row r="426">
          <cell r="A426">
            <v>409</v>
          </cell>
          <cell r="B426">
            <v>53752</v>
          </cell>
          <cell r="C426">
            <v>0</v>
          </cell>
          <cell r="D426">
            <v>2876.7965825806332</v>
          </cell>
          <cell r="E426">
            <v>0</v>
          </cell>
          <cell r="F426">
            <v>0</v>
          </cell>
          <cell r="G426">
            <v>0</v>
          </cell>
          <cell r="H426">
            <v>0</v>
          </cell>
          <cell r="I426">
            <v>0</v>
          </cell>
          <cell r="J426">
            <v>52994.575654616274</v>
          </cell>
        </row>
        <row r="427">
          <cell r="A427">
            <v>410</v>
          </cell>
          <cell r="B427">
            <v>53783</v>
          </cell>
          <cell r="C427">
            <v>0</v>
          </cell>
          <cell r="D427">
            <v>2876.7965825806332</v>
          </cell>
          <cell r="E427">
            <v>0</v>
          </cell>
          <cell r="F427">
            <v>0</v>
          </cell>
          <cell r="G427">
            <v>0</v>
          </cell>
          <cell r="H427">
            <v>0</v>
          </cell>
          <cell r="I427">
            <v>0</v>
          </cell>
          <cell r="J427">
            <v>52994.575654616274</v>
          </cell>
        </row>
        <row r="428">
          <cell r="A428">
            <v>411</v>
          </cell>
          <cell r="B428">
            <v>53813</v>
          </cell>
          <cell r="C428">
            <v>0</v>
          </cell>
          <cell r="D428">
            <v>2876.7965825806332</v>
          </cell>
          <cell r="E428">
            <v>0</v>
          </cell>
          <cell r="F428">
            <v>0</v>
          </cell>
          <cell r="G428">
            <v>0</v>
          </cell>
          <cell r="H428">
            <v>0</v>
          </cell>
          <cell r="I428">
            <v>0</v>
          </cell>
          <cell r="J428">
            <v>52994.575654616274</v>
          </cell>
        </row>
        <row r="429">
          <cell r="A429">
            <v>412</v>
          </cell>
          <cell r="B429">
            <v>53844</v>
          </cell>
          <cell r="C429">
            <v>0</v>
          </cell>
          <cell r="D429">
            <v>2876.7965825806332</v>
          </cell>
          <cell r="E429">
            <v>0</v>
          </cell>
          <cell r="F429">
            <v>0</v>
          </cell>
          <cell r="G429">
            <v>0</v>
          </cell>
          <cell r="H429">
            <v>0</v>
          </cell>
          <cell r="I429">
            <v>0</v>
          </cell>
          <cell r="J429">
            <v>52994.575654616274</v>
          </cell>
        </row>
        <row r="430">
          <cell r="A430">
            <v>413</v>
          </cell>
          <cell r="B430">
            <v>53874</v>
          </cell>
          <cell r="C430">
            <v>0</v>
          </cell>
          <cell r="D430">
            <v>2876.7965825806332</v>
          </cell>
          <cell r="E430">
            <v>0</v>
          </cell>
          <cell r="F430">
            <v>0</v>
          </cell>
          <cell r="G430">
            <v>0</v>
          </cell>
          <cell r="H430">
            <v>0</v>
          </cell>
          <cell r="I430">
            <v>0</v>
          </cell>
          <cell r="J430">
            <v>52994.575654616274</v>
          </cell>
        </row>
        <row r="431">
          <cell r="A431">
            <v>414</v>
          </cell>
          <cell r="B431">
            <v>53905</v>
          </cell>
          <cell r="C431">
            <v>0</v>
          </cell>
          <cell r="D431">
            <v>2876.7965825806332</v>
          </cell>
          <cell r="E431">
            <v>0</v>
          </cell>
          <cell r="F431">
            <v>0</v>
          </cell>
          <cell r="G431">
            <v>0</v>
          </cell>
          <cell r="H431">
            <v>0</v>
          </cell>
          <cell r="I431">
            <v>0</v>
          </cell>
          <cell r="J431">
            <v>52994.575654616274</v>
          </cell>
        </row>
        <row r="432">
          <cell r="A432">
            <v>415</v>
          </cell>
          <cell r="B432">
            <v>53936</v>
          </cell>
          <cell r="C432">
            <v>0</v>
          </cell>
          <cell r="D432">
            <v>2876.7965825806332</v>
          </cell>
          <cell r="E432">
            <v>0</v>
          </cell>
          <cell r="F432">
            <v>0</v>
          </cell>
          <cell r="G432">
            <v>0</v>
          </cell>
          <cell r="H432">
            <v>0</v>
          </cell>
          <cell r="I432">
            <v>0</v>
          </cell>
          <cell r="J432">
            <v>52994.575654616274</v>
          </cell>
        </row>
        <row r="433">
          <cell r="A433">
            <v>416</v>
          </cell>
          <cell r="B433">
            <v>53966</v>
          </cell>
          <cell r="C433">
            <v>0</v>
          </cell>
          <cell r="D433">
            <v>2876.7965825806332</v>
          </cell>
          <cell r="E433">
            <v>0</v>
          </cell>
          <cell r="F433">
            <v>0</v>
          </cell>
          <cell r="G433">
            <v>0</v>
          </cell>
          <cell r="H433">
            <v>0</v>
          </cell>
          <cell r="I433">
            <v>0</v>
          </cell>
          <cell r="J433">
            <v>52994.575654616274</v>
          </cell>
        </row>
        <row r="434">
          <cell r="A434">
            <v>417</v>
          </cell>
          <cell r="B434">
            <v>53997</v>
          </cell>
          <cell r="C434">
            <v>0</v>
          </cell>
          <cell r="D434">
            <v>2876.7965825806332</v>
          </cell>
          <cell r="E434">
            <v>0</v>
          </cell>
          <cell r="F434">
            <v>0</v>
          </cell>
          <cell r="G434">
            <v>0</v>
          </cell>
          <cell r="H434">
            <v>0</v>
          </cell>
          <cell r="I434">
            <v>0</v>
          </cell>
          <cell r="J434">
            <v>52994.575654616274</v>
          </cell>
        </row>
        <row r="435">
          <cell r="A435">
            <v>418</v>
          </cell>
          <cell r="B435">
            <v>54027</v>
          </cell>
          <cell r="C435">
            <v>0</v>
          </cell>
          <cell r="D435">
            <v>2876.7965825806332</v>
          </cell>
          <cell r="E435">
            <v>0</v>
          </cell>
          <cell r="F435">
            <v>0</v>
          </cell>
          <cell r="G435">
            <v>0</v>
          </cell>
          <cell r="H435">
            <v>0</v>
          </cell>
          <cell r="I435">
            <v>0</v>
          </cell>
          <cell r="J435">
            <v>52994.575654616274</v>
          </cell>
        </row>
        <row r="436">
          <cell r="A436">
            <v>419</v>
          </cell>
          <cell r="B436">
            <v>54058</v>
          </cell>
          <cell r="C436">
            <v>0</v>
          </cell>
          <cell r="D436">
            <v>2876.7965825806332</v>
          </cell>
          <cell r="E436">
            <v>0</v>
          </cell>
          <cell r="F436">
            <v>0</v>
          </cell>
          <cell r="G436">
            <v>0</v>
          </cell>
          <cell r="H436">
            <v>0</v>
          </cell>
          <cell r="I436">
            <v>0</v>
          </cell>
          <cell r="J436">
            <v>52994.575654616274</v>
          </cell>
        </row>
        <row r="437">
          <cell r="A437">
            <v>420</v>
          </cell>
          <cell r="B437">
            <v>54089</v>
          </cell>
          <cell r="C437">
            <v>0</v>
          </cell>
          <cell r="D437">
            <v>2876.7965825806332</v>
          </cell>
          <cell r="E437">
            <v>0</v>
          </cell>
          <cell r="F437">
            <v>0</v>
          </cell>
          <cell r="G437">
            <v>0</v>
          </cell>
          <cell r="H437">
            <v>0</v>
          </cell>
          <cell r="I437">
            <v>0</v>
          </cell>
          <cell r="J437">
            <v>52994.575654616274</v>
          </cell>
        </row>
        <row r="438">
          <cell r="A438">
            <v>421</v>
          </cell>
          <cell r="B438">
            <v>54118</v>
          </cell>
          <cell r="C438">
            <v>0</v>
          </cell>
          <cell r="D438">
            <v>2876.7965825806332</v>
          </cell>
          <cell r="E438">
            <v>0</v>
          </cell>
          <cell r="F438">
            <v>0</v>
          </cell>
          <cell r="G438">
            <v>0</v>
          </cell>
          <cell r="H438">
            <v>0</v>
          </cell>
          <cell r="I438">
            <v>0</v>
          </cell>
          <cell r="J438">
            <v>52994.575654616274</v>
          </cell>
        </row>
        <row r="439">
          <cell r="A439">
            <v>422</v>
          </cell>
          <cell r="B439">
            <v>54149</v>
          </cell>
          <cell r="C439">
            <v>0</v>
          </cell>
          <cell r="D439">
            <v>2876.7965825806332</v>
          </cell>
          <cell r="E439">
            <v>0</v>
          </cell>
          <cell r="F439">
            <v>0</v>
          </cell>
          <cell r="G439">
            <v>0</v>
          </cell>
          <cell r="H439">
            <v>0</v>
          </cell>
          <cell r="I439">
            <v>0</v>
          </cell>
          <cell r="J439">
            <v>52994.575654616274</v>
          </cell>
        </row>
        <row r="440">
          <cell r="A440">
            <v>423</v>
          </cell>
          <cell r="B440">
            <v>54179</v>
          </cell>
          <cell r="C440">
            <v>0</v>
          </cell>
          <cell r="D440">
            <v>2876.7965825806332</v>
          </cell>
          <cell r="E440">
            <v>0</v>
          </cell>
          <cell r="F440">
            <v>0</v>
          </cell>
          <cell r="G440">
            <v>0</v>
          </cell>
          <cell r="H440">
            <v>0</v>
          </cell>
          <cell r="I440">
            <v>0</v>
          </cell>
          <cell r="J440">
            <v>52994.575654616274</v>
          </cell>
        </row>
        <row r="441">
          <cell r="A441">
            <v>424</v>
          </cell>
          <cell r="B441">
            <v>54210</v>
          </cell>
          <cell r="C441">
            <v>0</v>
          </cell>
          <cell r="D441">
            <v>2876.7965825806332</v>
          </cell>
          <cell r="E441">
            <v>0</v>
          </cell>
          <cell r="F441">
            <v>0</v>
          </cell>
          <cell r="G441">
            <v>0</v>
          </cell>
          <cell r="H441">
            <v>0</v>
          </cell>
          <cell r="I441">
            <v>0</v>
          </cell>
          <cell r="J441">
            <v>52994.575654616274</v>
          </cell>
        </row>
        <row r="442">
          <cell r="A442">
            <v>425</v>
          </cell>
          <cell r="B442">
            <v>54240</v>
          </cell>
          <cell r="C442">
            <v>0</v>
          </cell>
          <cell r="D442">
            <v>2876.7965825806332</v>
          </cell>
          <cell r="E442">
            <v>0</v>
          </cell>
          <cell r="F442">
            <v>0</v>
          </cell>
          <cell r="G442">
            <v>0</v>
          </cell>
          <cell r="H442">
            <v>0</v>
          </cell>
          <cell r="I442">
            <v>0</v>
          </cell>
          <cell r="J442">
            <v>52994.575654616274</v>
          </cell>
        </row>
        <row r="443">
          <cell r="A443">
            <v>426</v>
          </cell>
          <cell r="B443">
            <v>54271</v>
          </cell>
          <cell r="C443">
            <v>0</v>
          </cell>
          <cell r="D443">
            <v>2876.7965825806332</v>
          </cell>
          <cell r="E443">
            <v>0</v>
          </cell>
          <cell r="F443">
            <v>0</v>
          </cell>
          <cell r="G443">
            <v>0</v>
          </cell>
          <cell r="H443">
            <v>0</v>
          </cell>
          <cell r="I443">
            <v>0</v>
          </cell>
          <cell r="J443">
            <v>52994.575654616274</v>
          </cell>
        </row>
        <row r="444">
          <cell r="A444">
            <v>427</v>
          </cell>
          <cell r="B444">
            <v>54302</v>
          </cell>
          <cell r="C444">
            <v>0</v>
          </cell>
          <cell r="D444">
            <v>2876.7965825806332</v>
          </cell>
          <cell r="E444">
            <v>0</v>
          </cell>
          <cell r="F444">
            <v>0</v>
          </cell>
          <cell r="G444">
            <v>0</v>
          </cell>
          <cell r="H444">
            <v>0</v>
          </cell>
          <cell r="I444">
            <v>0</v>
          </cell>
          <cell r="J444">
            <v>52994.575654616274</v>
          </cell>
        </row>
        <row r="445">
          <cell r="A445">
            <v>428</v>
          </cell>
          <cell r="B445">
            <v>54332</v>
          </cell>
          <cell r="C445">
            <v>0</v>
          </cell>
          <cell r="D445">
            <v>2876.7965825806332</v>
          </cell>
          <cell r="E445">
            <v>0</v>
          </cell>
          <cell r="F445">
            <v>0</v>
          </cell>
          <cell r="G445">
            <v>0</v>
          </cell>
          <cell r="H445">
            <v>0</v>
          </cell>
          <cell r="I445">
            <v>0</v>
          </cell>
          <cell r="J445">
            <v>52994.575654616274</v>
          </cell>
        </row>
        <row r="446">
          <cell r="A446">
            <v>429</v>
          </cell>
          <cell r="B446">
            <v>54363</v>
          </cell>
          <cell r="C446">
            <v>0</v>
          </cell>
          <cell r="D446">
            <v>2876.7965825806332</v>
          </cell>
          <cell r="E446">
            <v>0</v>
          </cell>
          <cell r="F446">
            <v>0</v>
          </cell>
          <cell r="G446">
            <v>0</v>
          </cell>
          <cell r="H446">
            <v>0</v>
          </cell>
          <cell r="I446">
            <v>0</v>
          </cell>
          <cell r="J446">
            <v>52994.575654616274</v>
          </cell>
        </row>
        <row r="447">
          <cell r="A447">
            <v>430</v>
          </cell>
          <cell r="B447">
            <v>54393</v>
          </cell>
          <cell r="C447">
            <v>0</v>
          </cell>
          <cell r="D447">
            <v>2876.7965825806332</v>
          </cell>
          <cell r="E447">
            <v>0</v>
          </cell>
          <cell r="F447">
            <v>0</v>
          </cell>
          <cell r="G447">
            <v>0</v>
          </cell>
          <cell r="H447">
            <v>0</v>
          </cell>
          <cell r="I447">
            <v>0</v>
          </cell>
          <cell r="J447">
            <v>52994.575654616274</v>
          </cell>
        </row>
        <row r="448">
          <cell r="A448">
            <v>431</v>
          </cell>
          <cell r="B448">
            <v>54424</v>
          </cell>
          <cell r="C448">
            <v>0</v>
          </cell>
          <cell r="D448">
            <v>2876.7965825806332</v>
          </cell>
          <cell r="E448">
            <v>0</v>
          </cell>
          <cell r="F448">
            <v>0</v>
          </cell>
          <cell r="G448">
            <v>0</v>
          </cell>
          <cell r="H448">
            <v>0</v>
          </cell>
          <cell r="I448">
            <v>0</v>
          </cell>
          <cell r="J448">
            <v>52994.575654616274</v>
          </cell>
        </row>
        <row r="449">
          <cell r="A449">
            <v>432</v>
          </cell>
          <cell r="B449">
            <v>54455</v>
          </cell>
          <cell r="C449">
            <v>0</v>
          </cell>
          <cell r="D449">
            <v>2876.7965825806332</v>
          </cell>
          <cell r="E449">
            <v>0</v>
          </cell>
          <cell r="F449">
            <v>0</v>
          </cell>
          <cell r="G449">
            <v>0</v>
          </cell>
          <cell r="H449">
            <v>0</v>
          </cell>
          <cell r="I449">
            <v>0</v>
          </cell>
          <cell r="J449">
            <v>52994.575654616274</v>
          </cell>
        </row>
        <row r="450">
          <cell r="A450">
            <v>433</v>
          </cell>
          <cell r="B450">
            <v>54483</v>
          </cell>
          <cell r="C450">
            <v>0</v>
          </cell>
          <cell r="D450">
            <v>2876.7965825806332</v>
          </cell>
          <cell r="E450">
            <v>0</v>
          </cell>
          <cell r="F450">
            <v>0</v>
          </cell>
          <cell r="G450">
            <v>0</v>
          </cell>
          <cell r="H450">
            <v>0</v>
          </cell>
          <cell r="I450">
            <v>0</v>
          </cell>
          <cell r="J450">
            <v>52994.575654616274</v>
          </cell>
        </row>
        <row r="451">
          <cell r="A451">
            <v>434</v>
          </cell>
          <cell r="B451">
            <v>54514</v>
          </cell>
          <cell r="C451">
            <v>0</v>
          </cell>
          <cell r="D451">
            <v>2876.7965825806332</v>
          </cell>
          <cell r="E451">
            <v>0</v>
          </cell>
          <cell r="F451">
            <v>0</v>
          </cell>
          <cell r="G451">
            <v>0</v>
          </cell>
          <cell r="H451">
            <v>0</v>
          </cell>
          <cell r="I451">
            <v>0</v>
          </cell>
          <cell r="J451">
            <v>52994.575654616274</v>
          </cell>
        </row>
        <row r="452">
          <cell r="A452">
            <v>435</v>
          </cell>
          <cell r="B452">
            <v>54544</v>
          </cell>
          <cell r="C452">
            <v>0</v>
          </cell>
          <cell r="D452">
            <v>2876.7965825806332</v>
          </cell>
          <cell r="E452">
            <v>0</v>
          </cell>
          <cell r="F452">
            <v>0</v>
          </cell>
          <cell r="G452">
            <v>0</v>
          </cell>
          <cell r="H452">
            <v>0</v>
          </cell>
          <cell r="I452">
            <v>0</v>
          </cell>
          <cell r="J452">
            <v>52994.575654616274</v>
          </cell>
        </row>
        <row r="453">
          <cell r="A453">
            <v>436</v>
          </cell>
          <cell r="B453">
            <v>54575</v>
          </cell>
          <cell r="C453">
            <v>0</v>
          </cell>
          <cell r="D453">
            <v>2876.7965825806332</v>
          </cell>
          <cell r="E453">
            <v>0</v>
          </cell>
          <cell r="F453">
            <v>0</v>
          </cell>
          <cell r="G453">
            <v>0</v>
          </cell>
          <cell r="H453">
            <v>0</v>
          </cell>
          <cell r="I453">
            <v>0</v>
          </cell>
          <cell r="J453">
            <v>52994.575654616274</v>
          </cell>
        </row>
        <row r="454">
          <cell r="A454">
            <v>437</v>
          </cell>
          <cell r="B454">
            <v>54605</v>
          </cell>
          <cell r="C454">
            <v>0</v>
          </cell>
          <cell r="D454">
            <v>2876.7965825806332</v>
          </cell>
          <cell r="E454">
            <v>0</v>
          </cell>
          <cell r="F454">
            <v>0</v>
          </cell>
          <cell r="G454">
            <v>0</v>
          </cell>
          <cell r="H454">
            <v>0</v>
          </cell>
          <cell r="I454">
            <v>0</v>
          </cell>
          <cell r="J454">
            <v>52994.575654616274</v>
          </cell>
        </row>
        <row r="455">
          <cell r="A455">
            <v>438</v>
          </cell>
          <cell r="B455">
            <v>54636</v>
          </cell>
          <cell r="C455">
            <v>0</v>
          </cell>
          <cell r="D455">
            <v>2876.7965825806332</v>
          </cell>
          <cell r="E455">
            <v>0</v>
          </cell>
          <cell r="F455">
            <v>0</v>
          </cell>
          <cell r="G455">
            <v>0</v>
          </cell>
          <cell r="H455">
            <v>0</v>
          </cell>
          <cell r="I455">
            <v>0</v>
          </cell>
          <cell r="J455">
            <v>52994.575654616274</v>
          </cell>
        </row>
        <row r="456">
          <cell r="A456">
            <v>439</v>
          </cell>
          <cell r="B456">
            <v>54667</v>
          </cell>
          <cell r="C456">
            <v>0</v>
          </cell>
          <cell r="D456">
            <v>2876.7965825806332</v>
          </cell>
          <cell r="E456">
            <v>0</v>
          </cell>
          <cell r="F456">
            <v>0</v>
          </cell>
          <cell r="G456">
            <v>0</v>
          </cell>
          <cell r="H456">
            <v>0</v>
          </cell>
          <cell r="I456">
            <v>0</v>
          </cell>
          <cell r="J456">
            <v>52994.575654616274</v>
          </cell>
        </row>
        <row r="457">
          <cell r="A457">
            <v>440</v>
          </cell>
          <cell r="B457">
            <v>54697</v>
          </cell>
          <cell r="C457">
            <v>0</v>
          </cell>
          <cell r="D457">
            <v>2876.7965825806332</v>
          </cell>
          <cell r="E457">
            <v>0</v>
          </cell>
          <cell r="F457">
            <v>0</v>
          </cell>
          <cell r="G457">
            <v>0</v>
          </cell>
          <cell r="H457">
            <v>0</v>
          </cell>
          <cell r="I457">
            <v>0</v>
          </cell>
          <cell r="J457">
            <v>52994.575654616274</v>
          </cell>
        </row>
        <row r="458">
          <cell r="A458">
            <v>441</v>
          </cell>
          <cell r="B458">
            <v>54728</v>
          </cell>
          <cell r="C458">
            <v>0</v>
          </cell>
          <cell r="D458">
            <v>2876.7965825806332</v>
          </cell>
          <cell r="E458">
            <v>0</v>
          </cell>
          <cell r="F458">
            <v>0</v>
          </cell>
          <cell r="G458">
            <v>0</v>
          </cell>
          <cell r="H458">
            <v>0</v>
          </cell>
          <cell r="I458">
            <v>0</v>
          </cell>
          <cell r="J458">
            <v>52994.575654616274</v>
          </cell>
        </row>
        <row r="459">
          <cell r="A459">
            <v>442</v>
          </cell>
          <cell r="B459">
            <v>54758</v>
          </cell>
          <cell r="C459">
            <v>0</v>
          </cell>
          <cell r="D459">
            <v>2876.7965825806332</v>
          </cell>
          <cell r="E459">
            <v>0</v>
          </cell>
          <cell r="F459">
            <v>0</v>
          </cell>
          <cell r="G459">
            <v>0</v>
          </cell>
          <cell r="H459">
            <v>0</v>
          </cell>
          <cell r="I459">
            <v>0</v>
          </cell>
          <cell r="J459">
            <v>52994.575654616274</v>
          </cell>
        </row>
        <row r="460">
          <cell r="A460">
            <v>443</v>
          </cell>
          <cell r="B460">
            <v>54789</v>
          </cell>
          <cell r="C460">
            <v>0</v>
          </cell>
          <cell r="D460">
            <v>2876.7965825806332</v>
          </cell>
          <cell r="E460">
            <v>0</v>
          </cell>
          <cell r="F460">
            <v>0</v>
          </cell>
          <cell r="G460">
            <v>0</v>
          </cell>
          <cell r="H460">
            <v>0</v>
          </cell>
          <cell r="I460">
            <v>0</v>
          </cell>
          <cell r="J460">
            <v>52994.575654616274</v>
          </cell>
        </row>
        <row r="461">
          <cell r="A461">
            <v>444</v>
          </cell>
          <cell r="B461">
            <v>54820</v>
          </cell>
          <cell r="C461">
            <v>0</v>
          </cell>
          <cell r="D461">
            <v>2876.7965825806332</v>
          </cell>
          <cell r="E461">
            <v>0</v>
          </cell>
          <cell r="F461">
            <v>0</v>
          </cell>
          <cell r="G461">
            <v>0</v>
          </cell>
          <cell r="H461">
            <v>0</v>
          </cell>
          <cell r="I461">
            <v>0</v>
          </cell>
          <cell r="J461">
            <v>52994.575654616274</v>
          </cell>
        </row>
        <row r="462">
          <cell r="A462">
            <v>445</v>
          </cell>
          <cell r="B462">
            <v>54848</v>
          </cell>
          <cell r="C462">
            <v>0</v>
          </cell>
          <cell r="D462">
            <v>2876.7965825806332</v>
          </cell>
          <cell r="E462">
            <v>0</v>
          </cell>
          <cell r="F462">
            <v>0</v>
          </cell>
          <cell r="G462">
            <v>0</v>
          </cell>
          <cell r="H462">
            <v>0</v>
          </cell>
          <cell r="I462">
            <v>0</v>
          </cell>
          <cell r="J462">
            <v>52994.575654616274</v>
          </cell>
        </row>
        <row r="463">
          <cell r="A463">
            <v>446</v>
          </cell>
          <cell r="B463">
            <v>54879</v>
          </cell>
          <cell r="C463">
            <v>0</v>
          </cell>
          <cell r="D463">
            <v>2876.7965825806332</v>
          </cell>
          <cell r="E463">
            <v>0</v>
          </cell>
          <cell r="F463">
            <v>0</v>
          </cell>
          <cell r="G463">
            <v>0</v>
          </cell>
          <cell r="H463">
            <v>0</v>
          </cell>
          <cell r="I463">
            <v>0</v>
          </cell>
          <cell r="J463">
            <v>52994.575654616274</v>
          </cell>
        </row>
        <row r="464">
          <cell r="A464">
            <v>447</v>
          </cell>
          <cell r="B464">
            <v>54909</v>
          </cell>
          <cell r="C464">
            <v>0</v>
          </cell>
          <cell r="D464">
            <v>2876.7965825806332</v>
          </cell>
          <cell r="E464">
            <v>0</v>
          </cell>
          <cell r="F464">
            <v>0</v>
          </cell>
          <cell r="G464">
            <v>0</v>
          </cell>
          <cell r="H464">
            <v>0</v>
          </cell>
          <cell r="I464">
            <v>0</v>
          </cell>
          <cell r="J464">
            <v>52994.575654616274</v>
          </cell>
        </row>
        <row r="465">
          <cell r="A465">
            <v>448</v>
          </cell>
          <cell r="B465">
            <v>54940</v>
          </cell>
          <cell r="C465">
            <v>0</v>
          </cell>
          <cell r="D465">
            <v>2876.7965825806332</v>
          </cell>
          <cell r="E465">
            <v>0</v>
          </cell>
          <cell r="F465">
            <v>0</v>
          </cell>
          <cell r="G465">
            <v>0</v>
          </cell>
          <cell r="H465">
            <v>0</v>
          </cell>
          <cell r="I465">
            <v>0</v>
          </cell>
          <cell r="J465">
            <v>52994.575654616274</v>
          </cell>
        </row>
        <row r="466">
          <cell r="A466">
            <v>449</v>
          </cell>
          <cell r="B466">
            <v>54970</v>
          </cell>
          <cell r="C466">
            <v>0</v>
          </cell>
          <cell r="D466">
            <v>2876.7965825806332</v>
          </cell>
          <cell r="E466">
            <v>0</v>
          </cell>
          <cell r="F466">
            <v>0</v>
          </cell>
          <cell r="G466">
            <v>0</v>
          </cell>
          <cell r="H466">
            <v>0</v>
          </cell>
          <cell r="I466">
            <v>0</v>
          </cell>
          <cell r="J466">
            <v>52994.575654616274</v>
          </cell>
        </row>
        <row r="467">
          <cell r="A467">
            <v>450</v>
          </cell>
          <cell r="B467">
            <v>55001</v>
          </cell>
          <cell r="C467">
            <v>0</v>
          </cell>
          <cell r="D467">
            <v>2876.7965825806332</v>
          </cell>
          <cell r="E467">
            <v>0</v>
          </cell>
          <cell r="F467">
            <v>0</v>
          </cell>
          <cell r="G467">
            <v>0</v>
          </cell>
          <cell r="H467">
            <v>0</v>
          </cell>
          <cell r="I467">
            <v>0</v>
          </cell>
          <cell r="J467">
            <v>52994.575654616274</v>
          </cell>
        </row>
        <row r="468">
          <cell r="A468">
            <v>451</v>
          </cell>
          <cell r="B468">
            <v>55032</v>
          </cell>
          <cell r="C468">
            <v>0</v>
          </cell>
          <cell r="D468">
            <v>2876.7965825806332</v>
          </cell>
          <cell r="E468">
            <v>0</v>
          </cell>
          <cell r="F468">
            <v>0</v>
          </cell>
          <cell r="G468">
            <v>0</v>
          </cell>
          <cell r="H468">
            <v>0</v>
          </cell>
          <cell r="I468">
            <v>0</v>
          </cell>
          <cell r="J468">
            <v>52994.575654616274</v>
          </cell>
        </row>
        <row r="469">
          <cell r="A469">
            <v>452</v>
          </cell>
          <cell r="B469">
            <v>55062</v>
          </cell>
          <cell r="C469">
            <v>0</v>
          </cell>
          <cell r="D469">
            <v>2876.7965825806332</v>
          </cell>
          <cell r="E469">
            <v>0</v>
          </cell>
          <cell r="F469">
            <v>0</v>
          </cell>
          <cell r="G469">
            <v>0</v>
          </cell>
          <cell r="H469">
            <v>0</v>
          </cell>
          <cell r="I469">
            <v>0</v>
          </cell>
          <cell r="J469">
            <v>52994.575654616274</v>
          </cell>
        </row>
        <row r="470">
          <cell r="A470">
            <v>453</v>
          </cell>
          <cell r="B470">
            <v>55093</v>
          </cell>
          <cell r="C470">
            <v>0</v>
          </cell>
          <cell r="D470">
            <v>2876.7965825806332</v>
          </cell>
          <cell r="E470">
            <v>0</v>
          </cell>
          <cell r="F470">
            <v>0</v>
          </cell>
          <cell r="G470">
            <v>0</v>
          </cell>
          <cell r="H470">
            <v>0</v>
          </cell>
          <cell r="I470">
            <v>0</v>
          </cell>
          <cell r="J470">
            <v>52994.575654616274</v>
          </cell>
        </row>
        <row r="471">
          <cell r="A471">
            <v>454</v>
          </cell>
          <cell r="B471">
            <v>55123</v>
          </cell>
          <cell r="C471">
            <v>0</v>
          </cell>
          <cell r="D471">
            <v>2876.7965825806332</v>
          </cell>
          <cell r="E471">
            <v>0</v>
          </cell>
          <cell r="F471">
            <v>0</v>
          </cell>
          <cell r="G471">
            <v>0</v>
          </cell>
          <cell r="H471">
            <v>0</v>
          </cell>
          <cell r="I471">
            <v>0</v>
          </cell>
          <cell r="J471">
            <v>52994.575654616274</v>
          </cell>
        </row>
        <row r="472">
          <cell r="A472">
            <v>455</v>
          </cell>
          <cell r="B472">
            <v>55154</v>
          </cell>
          <cell r="C472">
            <v>0</v>
          </cell>
          <cell r="D472">
            <v>2876.7965825806332</v>
          </cell>
          <cell r="E472">
            <v>0</v>
          </cell>
          <cell r="F472">
            <v>0</v>
          </cell>
          <cell r="G472">
            <v>0</v>
          </cell>
          <cell r="H472">
            <v>0</v>
          </cell>
          <cell r="I472">
            <v>0</v>
          </cell>
          <cell r="J472">
            <v>52994.575654616274</v>
          </cell>
        </row>
        <row r="473">
          <cell r="A473">
            <v>456</v>
          </cell>
          <cell r="B473">
            <v>55185</v>
          </cell>
          <cell r="C473">
            <v>0</v>
          </cell>
          <cell r="D473">
            <v>2876.7965825806332</v>
          </cell>
          <cell r="E473">
            <v>0</v>
          </cell>
          <cell r="F473">
            <v>0</v>
          </cell>
          <cell r="G473">
            <v>0</v>
          </cell>
          <cell r="H473">
            <v>0</v>
          </cell>
          <cell r="I473">
            <v>0</v>
          </cell>
          <cell r="J473">
            <v>52994.575654616274</v>
          </cell>
        </row>
        <row r="474">
          <cell r="A474">
            <v>457</v>
          </cell>
          <cell r="B474">
            <v>55213</v>
          </cell>
          <cell r="C474">
            <v>0</v>
          </cell>
          <cell r="D474">
            <v>2876.7965825806332</v>
          </cell>
          <cell r="E474">
            <v>0</v>
          </cell>
          <cell r="F474">
            <v>0</v>
          </cell>
          <cell r="G474">
            <v>0</v>
          </cell>
          <cell r="H474">
            <v>0</v>
          </cell>
          <cell r="I474">
            <v>0</v>
          </cell>
          <cell r="J474">
            <v>52994.575654616274</v>
          </cell>
        </row>
        <row r="475">
          <cell r="A475">
            <v>458</v>
          </cell>
          <cell r="B475">
            <v>55244</v>
          </cell>
          <cell r="C475">
            <v>0</v>
          </cell>
          <cell r="D475">
            <v>2876.7965825806332</v>
          </cell>
          <cell r="E475">
            <v>0</v>
          </cell>
          <cell r="F475">
            <v>0</v>
          </cell>
          <cell r="G475">
            <v>0</v>
          </cell>
          <cell r="H475">
            <v>0</v>
          </cell>
          <cell r="I475">
            <v>0</v>
          </cell>
          <cell r="J475">
            <v>52994.575654616274</v>
          </cell>
        </row>
        <row r="476">
          <cell r="A476">
            <v>459</v>
          </cell>
          <cell r="B476">
            <v>55274</v>
          </cell>
          <cell r="C476">
            <v>0</v>
          </cell>
          <cell r="D476">
            <v>2876.7965825806332</v>
          </cell>
          <cell r="E476">
            <v>0</v>
          </cell>
          <cell r="F476">
            <v>0</v>
          </cell>
          <cell r="G476">
            <v>0</v>
          </cell>
          <cell r="H476">
            <v>0</v>
          </cell>
          <cell r="I476">
            <v>0</v>
          </cell>
          <cell r="J476">
            <v>52994.575654616274</v>
          </cell>
        </row>
        <row r="477">
          <cell r="A477">
            <v>460</v>
          </cell>
          <cell r="B477">
            <v>55305</v>
          </cell>
          <cell r="C477">
            <v>0</v>
          </cell>
          <cell r="D477">
            <v>2876.7965825806332</v>
          </cell>
          <cell r="E477">
            <v>0</v>
          </cell>
          <cell r="F477">
            <v>0</v>
          </cell>
          <cell r="G477">
            <v>0</v>
          </cell>
          <cell r="H477">
            <v>0</v>
          </cell>
          <cell r="I477">
            <v>0</v>
          </cell>
          <cell r="J477">
            <v>52994.575654616274</v>
          </cell>
        </row>
        <row r="478">
          <cell r="A478">
            <v>461</v>
          </cell>
          <cell r="B478">
            <v>55335</v>
          </cell>
          <cell r="C478">
            <v>0</v>
          </cell>
          <cell r="D478">
            <v>2876.7965825806332</v>
          </cell>
          <cell r="E478">
            <v>0</v>
          </cell>
          <cell r="F478">
            <v>0</v>
          </cell>
          <cell r="G478">
            <v>0</v>
          </cell>
          <cell r="H478">
            <v>0</v>
          </cell>
          <cell r="I478">
            <v>0</v>
          </cell>
          <cell r="J478">
            <v>52994.575654616274</v>
          </cell>
        </row>
        <row r="479">
          <cell r="A479">
            <v>462</v>
          </cell>
          <cell r="B479">
            <v>55366</v>
          </cell>
          <cell r="C479">
            <v>0</v>
          </cell>
          <cell r="D479">
            <v>2876.7965825806332</v>
          </cell>
          <cell r="E479">
            <v>0</v>
          </cell>
          <cell r="F479">
            <v>0</v>
          </cell>
          <cell r="G479">
            <v>0</v>
          </cell>
          <cell r="H479">
            <v>0</v>
          </cell>
          <cell r="I479">
            <v>0</v>
          </cell>
          <cell r="J479">
            <v>52994.575654616274</v>
          </cell>
        </row>
        <row r="480">
          <cell r="A480">
            <v>463</v>
          </cell>
          <cell r="B480">
            <v>55397</v>
          </cell>
          <cell r="C480">
            <v>0</v>
          </cell>
          <cell r="D480">
            <v>2876.7965825806332</v>
          </cell>
          <cell r="E480">
            <v>0</v>
          </cell>
          <cell r="F480">
            <v>0</v>
          </cell>
          <cell r="G480">
            <v>0</v>
          </cell>
          <cell r="H480">
            <v>0</v>
          </cell>
          <cell r="I480">
            <v>0</v>
          </cell>
          <cell r="J480">
            <v>52994.575654616274</v>
          </cell>
        </row>
        <row r="481">
          <cell r="A481">
            <v>464</v>
          </cell>
          <cell r="B481">
            <v>55427</v>
          </cell>
          <cell r="C481">
            <v>0</v>
          </cell>
          <cell r="D481">
            <v>2876.7965825806332</v>
          </cell>
          <cell r="E481">
            <v>0</v>
          </cell>
          <cell r="F481">
            <v>0</v>
          </cell>
          <cell r="G481">
            <v>0</v>
          </cell>
          <cell r="H481">
            <v>0</v>
          </cell>
          <cell r="I481">
            <v>0</v>
          </cell>
          <cell r="J481">
            <v>52994.575654616274</v>
          </cell>
        </row>
        <row r="482">
          <cell r="A482">
            <v>465</v>
          </cell>
          <cell r="B482">
            <v>55458</v>
          </cell>
          <cell r="C482">
            <v>0</v>
          </cell>
          <cell r="D482">
            <v>2876.7965825806332</v>
          </cell>
          <cell r="E482">
            <v>0</v>
          </cell>
          <cell r="F482">
            <v>0</v>
          </cell>
          <cell r="G482">
            <v>0</v>
          </cell>
          <cell r="H482">
            <v>0</v>
          </cell>
          <cell r="I482">
            <v>0</v>
          </cell>
          <cell r="J482">
            <v>52994.575654616274</v>
          </cell>
        </row>
        <row r="483">
          <cell r="A483">
            <v>466</v>
          </cell>
          <cell r="B483">
            <v>55488</v>
          </cell>
          <cell r="C483">
            <v>0</v>
          </cell>
          <cell r="D483">
            <v>2876.7965825806332</v>
          </cell>
          <cell r="E483">
            <v>0</v>
          </cell>
          <cell r="F483">
            <v>0</v>
          </cell>
          <cell r="G483">
            <v>0</v>
          </cell>
          <cell r="H483">
            <v>0</v>
          </cell>
          <cell r="I483">
            <v>0</v>
          </cell>
          <cell r="J483">
            <v>52994.575654616274</v>
          </cell>
        </row>
        <row r="484">
          <cell r="A484">
            <v>467</v>
          </cell>
          <cell r="B484">
            <v>55519</v>
          </cell>
          <cell r="C484">
            <v>0</v>
          </cell>
          <cell r="D484">
            <v>2876.7965825806332</v>
          </cell>
          <cell r="E484">
            <v>0</v>
          </cell>
          <cell r="F484">
            <v>0</v>
          </cell>
          <cell r="G484">
            <v>0</v>
          </cell>
          <cell r="H484">
            <v>0</v>
          </cell>
          <cell r="I484">
            <v>0</v>
          </cell>
          <cell r="J484">
            <v>52994.575654616274</v>
          </cell>
        </row>
        <row r="485">
          <cell r="A485">
            <v>468</v>
          </cell>
          <cell r="B485">
            <v>55550</v>
          </cell>
          <cell r="C485">
            <v>0</v>
          </cell>
          <cell r="D485">
            <v>2876.7965825806332</v>
          </cell>
          <cell r="E485">
            <v>0</v>
          </cell>
          <cell r="F485">
            <v>0</v>
          </cell>
          <cell r="G485">
            <v>0</v>
          </cell>
          <cell r="H485">
            <v>0</v>
          </cell>
          <cell r="I485">
            <v>0</v>
          </cell>
          <cell r="J485">
            <v>52994.575654616274</v>
          </cell>
        </row>
        <row r="486">
          <cell r="A486">
            <v>469</v>
          </cell>
          <cell r="B486">
            <v>55579</v>
          </cell>
          <cell r="C486">
            <v>0</v>
          </cell>
          <cell r="D486">
            <v>2876.7965825806332</v>
          </cell>
          <cell r="E486">
            <v>0</v>
          </cell>
          <cell r="F486">
            <v>0</v>
          </cell>
          <cell r="G486">
            <v>0</v>
          </cell>
          <cell r="H486">
            <v>0</v>
          </cell>
          <cell r="I486">
            <v>0</v>
          </cell>
          <cell r="J486">
            <v>52994.575654616274</v>
          </cell>
        </row>
        <row r="487">
          <cell r="A487">
            <v>470</v>
          </cell>
          <cell r="B487">
            <v>55610</v>
          </cell>
          <cell r="C487">
            <v>0</v>
          </cell>
          <cell r="D487">
            <v>2876.7965825806332</v>
          </cell>
          <cell r="E487">
            <v>0</v>
          </cell>
          <cell r="F487">
            <v>0</v>
          </cell>
          <cell r="G487">
            <v>0</v>
          </cell>
          <cell r="H487">
            <v>0</v>
          </cell>
          <cell r="I487">
            <v>0</v>
          </cell>
          <cell r="J487">
            <v>52994.575654616274</v>
          </cell>
        </row>
        <row r="488">
          <cell r="A488">
            <v>471</v>
          </cell>
          <cell r="B488">
            <v>55640</v>
          </cell>
          <cell r="C488">
            <v>0</v>
          </cell>
          <cell r="D488">
            <v>2876.7965825806332</v>
          </cell>
          <cell r="E488">
            <v>0</v>
          </cell>
          <cell r="F488">
            <v>0</v>
          </cell>
          <cell r="G488">
            <v>0</v>
          </cell>
          <cell r="H488">
            <v>0</v>
          </cell>
          <cell r="I488">
            <v>0</v>
          </cell>
          <cell r="J488">
            <v>52994.575654616274</v>
          </cell>
        </row>
        <row r="489">
          <cell r="A489">
            <v>472</v>
          </cell>
          <cell r="B489">
            <v>55671</v>
          </cell>
          <cell r="C489">
            <v>0</v>
          </cell>
          <cell r="D489">
            <v>2876.7965825806332</v>
          </cell>
          <cell r="E489">
            <v>0</v>
          </cell>
          <cell r="F489">
            <v>0</v>
          </cell>
          <cell r="G489">
            <v>0</v>
          </cell>
          <cell r="H489">
            <v>0</v>
          </cell>
          <cell r="I489">
            <v>0</v>
          </cell>
          <cell r="J489">
            <v>52994.575654616274</v>
          </cell>
        </row>
        <row r="490">
          <cell r="A490">
            <v>473</v>
          </cell>
          <cell r="B490">
            <v>55701</v>
          </cell>
          <cell r="C490">
            <v>0</v>
          </cell>
          <cell r="D490">
            <v>2876.7965825806332</v>
          </cell>
          <cell r="E490">
            <v>0</v>
          </cell>
          <cell r="F490">
            <v>0</v>
          </cell>
          <cell r="G490">
            <v>0</v>
          </cell>
          <cell r="H490">
            <v>0</v>
          </cell>
          <cell r="I490">
            <v>0</v>
          </cell>
          <cell r="J490">
            <v>52994.575654616274</v>
          </cell>
        </row>
        <row r="491">
          <cell r="A491">
            <v>474</v>
          </cell>
          <cell r="B491">
            <v>55732</v>
          </cell>
          <cell r="C491">
            <v>0</v>
          </cell>
          <cell r="D491">
            <v>2876.7965825806332</v>
          </cell>
          <cell r="E491">
            <v>0</v>
          </cell>
          <cell r="F491">
            <v>0</v>
          </cell>
          <cell r="G491">
            <v>0</v>
          </cell>
          <cell r="H491">
            <v>0</v>
          </cell>
          <cell r="I491">
            <v>0</v>
          </cell>
          <cell r="J491">
            <v>52994.575654616274</v>
          </cell>
        </row>
        <row r="492">
          <cell r="A492">
            <v>475</v>
          </cell>
          <cell r="B492">
            <v>55763</v>
          </cell>
          <cell r="C492">
            <v>0</v>
          </cell>
          <cell r="D492">
            <v>2876.7965825806332</v>
          </cell>
          <cell r="E492">
            <v>0</v>
          </cell>
          <cell r="F492">
            <v>0</v>
          </cell>
          <cell r="G492">
            <v>0</v>
          </cell>
          <cell r="H492">
            <v>0</v>
          </cell>
          <cell r="I492">
            <v>0</v>
          </cell>
          <cell r="J492">
            <v>52994.575654616274</v>
          </cell>
        </row>
        <row r="493">
          <cell r="A493">
            <v>476</v>
          </cell>
          <cell r="B493">
            <v>55793</v>
          </cell>
          <cell r="C493">
            <v>0</v>
          </cell>
          <cell r="D493">
            <v>2876.7965825806332</v>
          </cell>
          <cell r="E493">
            <v>0</v>
          </cell>
          <cell r="F493">
            <v>0</v>
          </cell>
          <cell r="G493">
            <v>0</v>
          </cell>
          <cell r="H493">
            <v>0</v>
          </cell>
          <cell r="I493">
            <v>0</v>
          </cell>
          <cell r="J493">
            <v>52994.575654616274</v>
          </cell>
        </row>
        <row r="494">
          <cell r="A494">
            <v>477</v>
          </cell>
          <cell r="B494">
            <v>55824</v>
          </cell>
          <cell r="C494">
            <v>0</v>
          </cell>
          <cell r="D494">
            <v>2876.7965825806332</v>
          </cell>
          <cell r="E494">
            <v>0</v>
          </cell>
          <cell r="F494">
            <v>0</v>
          </cell>
          <cell r="G494">
            <v>0</v>
          </cell>
          <cell r="H494">
            <v>0</v>
          </cell>
          <cell r="I494">
            <v>0</v>
          </cell>
          <cell r="J494">
            <v>52994.575654616274</v>
          </cell>
        </row>
        <row r="495">
          <cell r="A495">
            <v>478</v>
          </cell>
          <cell r="B495">
            <v>55854</v>
          </cell>
          <cell r="C495">
            <v>0</v>
          </cell>
          <cell r="D495">
            <v>2876.7965825806332</v>
          </cell>
          <cell r="E495">
            <v>0</v>
          </cell>
          <cell r="F495">
            <v>0</v>
          </cell>
          <cell r="G495">
            <v>0</v>
          </cell>
          <cell r="H495">
            <v>0</v>
          </cell>
          <cell r="I495">
            <v>0</v>
          </cell>
          <cell r="J495">
            <v>52994.575654616274</v>
          </cell>
        </row>
        <row r="496">
          <cell r="A496">
            <v>479</v>
          </cell>
          <cell r="B496">
            <v>55885</v>
          </cell>
          <cell r="C496">
            <v>0</v>
          </cell>
          <cell r="D496">
            <v>2876.7965825806332</v>
          </cell>
          <cell r="E496">
            <v>0</v>
          </cell>
          <cell r="F496">
            <v>0</v>
          </cell>
          <cell r="G496">
            <v>0</v>
          </cell>
          <cell r="H496">
            <v>0</v>
          </cell>
          <cell r="I496">
            <v>0</v>
          </cell>
          <cell r="J496">
            <v>52994.575654616274</v>
          </cell>
        </row>
        <row r="497">
          <cell r="A497">
            <v>480</v>
          </cell>
          <cell r="B497">
            <v>55916</v>
          </cell>
          <cell r="C497">
            <v>0</v>
          </cell>
          <cell r="D497">
            <v>2876.7965825806332</v>
          </cell>
          <cell r="E497">
            <v>0</v>
          </cell>
          <cell r="F497">
            <v>0</v>
          </cell>
          <cell r="G497">
            <v>0</v>
          </cell>
          <cell r="H497">
            <v>0</v>
          </cell>
          <cell r="I497">
            <v>0</v>
          </cell>
          <cell r="J497">
            <v>52994.575654616274</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3"/>
  <sheetViews>
    <sheetView topLeftCell="A62" zoomScale="110" zoomScaleNormal="110" workbookViewId="0">
      <selection activeCell="B34" sqref="B34:C34"/>
    </sheetView>
  </sheetViews>
  <sheetFormatPr defaultColWidth="9.1796875" defaultRowHeight="14" x14ac:dyDescent="0.3"/>
  <cols>
    <col min="1" max="1" width="9.7265625" style="4" customWidth="1"/>
    <col min="2" max="2" width="7.26953125" style="4" customWidth="1"/>
    <col min="3" max="3" width="42.54296875" style="4" customWidth="1"/>
    <col min="4" max="4" width="13.453125" style="4" customWidth="1"/>
    <col min="5" max="5" width="12.81640625" style="4" customWidth="1"/>
    <col min="6" max="6" width="15.81640625" style="4" customWidth="1"/>
    <col min="7" max="7" width="13.7265625" style="4" customWidth="1"/>
    <col min="8" max="16384" width="9.1796875" style="4"/>
  </cols>
  <sheetData>
    <row r="1" spans="1:7" x14ac:dyDescent="0.3">
      <c r="A1" s="1" t="s">
        <v>0</v>
      </c>
      <c r="B1" s="2"/>
      <c r="C1" s="2"/>
      <c r="D1" s="2"/>
      <c r="E1" s="2"/>
      <c r="F1" s="2"/>
      <c r="G1" s="3" t="s">
        <v>1</v>
      </c>
    </row>
    <row r="2" spans="1:7" ht="9.75" customHeight="1" x14ac:dyDescent="0.3"/>
    <row r="3" spans="1:7" ht="45" x14ac:dyDescent="0.3">
      <c r="G3" s="57" t="s">
        <v>2</v>
      </c>
    </row>
    <row r="4" spans="1:7" ht="20" x14ac:dyDescent="0.4">
      <c r="A4" s="5"/>
    </row>
    <row r="5" spans="1:7" ht="25" customHeight="1" x14ac:dyDescent="0.3">
      <c r="A5" s="6" t="s">
        <v>3</v>
      </c>
      <c r="B5" s="265" t="s">
        <v>4</v>
      </c>
      <c r="C5" s="266"/>
      <c r="D5" s="7"/>
      <c r="E5" s="7"/>
      <c r="F5" s="8" t="s">
        <v>5</v>
      </c>
      <c r="G5" s="8" t="s">
        <v>6</v>
      </c>
    </row>
    <row r="6" spans="1:7" ht="25" customHeight="1" x14ac:dyDescent="0.3">
      <c r="A6" s="6" t="s">
        <v>7</v>
      </c>
      <c r="B6" s="265" t="s">
        <v>8</v>
      </c>
      <c r="C6" s="266"/>
      <c r="D6" s="7"/>
      <c r="E6" s="7"/>
      <c r="F6" s="8" t="s">
        <v>9</v>
      </c>
      <c r="G6" s="8" t="s">
        <v>6</v>
      </c>
    </row>
    <row r="7" spans="1:7" ht="25" customHeight="1" x14ac:dyDescent="0.3">
      <c r="A7" s="6" t="s">
        <v>10</v>
      </c>
      <c r="B7" s="265" t="s">
        <v>8</v>
      </c>
      <c r="C7" s="266"/>
      <c r="D7" s="7"/>
      <c r="E7" s="7"/>
      <c r="F7" s="8" t="s">
        <v>11</v>
      </c>
      <c r="G7" s="8" t="s">
        <v>6</v>
      </c>
    </row>
    <row r="9" spans="1:7" x14ac:dyDescent="0.3">
      <c r="A9" s="9" t="s">
        <v>12</v>
      </c>
    </row>
    <row r="10" spans="1:7" x14ac:dyDescent="0.3">
      <c r="A10" s="9"/>
    </row>
    <row r="11" spans="1:7" x14ac:dyDescent="0.3">
      <c r="A11" s="9" t="s">
        <v>13</v>
      </c>
    </row>
    <row r="13" spans="1:7" x14ac:dyDescent="0.3">
      <c r="A13" s="10" t="s">
        <v>14</v>
      </c>
      <c r="B13" s="241" t="s">
        <v>183</v>
      </c>
      <c r="C13" s="241"/>
      <c r="D13" s="241"/>
      <c r="E13" s="241"/>
      <c r="F13" s="241"/>
      <c r="G13" s="241"/>
    </row>
    <row r="14" spans="1:7" x14ac:dyDescent="0.3">
      <c r="A14" s="11" t="s">
        <v>15</v>
      </c>
      <c r="B14" s="241" t="s">
        <v>16</v>
      </c>
      <c r="C14" s="241"/>
      <c r="D14" s="241"/>
      <c r="E14" s="241"/>
      <c r="F14" s="241"/>
      <c r="G14" s="241"/>
    </row>
    <row r="15" spans="1:7" ht="32.25" customHeight="1" x14ac:dyDescent="0.3">
      <c r="A15" s="10" t="s">
        <v>17</v>
      </c>
      <c r="B15" s="241" t="s">
        <v>18</v>
      </c>
      <c r="C15" s="241"/>
      <c r="D15" s="241"/>
      <c r="E15" s="241"/>
      <c r="F15" s="241"/>
      <c r="G15" s="241"/>
    </row>
    <row r="17" spans="1:7" x14ac:dyDescent="0.3">
      <c r="A17" s="9" t="s">
        <v>19</v>
      </c>
    </row>
    <row r="18" spans="1:7" x14ac:dyDescent="0.3">
      <c r="A18" s="9"/>
    </row>
    <row r="19" spans="1:7" ht="15" customHeight="1" x14ac:dyDescent="0.3">
      <c r="A19" s="267"/>
      <c r="B19" s="267"/>
      <c r="C19" s="12"/>
      <c r="D19" s="268" t="s">
        <v>20</v>
      </c>
      <c r="E19" s="268" t="s">
        <v>184</v>
      </c>
      <c r="F19" s="268" t="s">
        <v>90</v>
      </c>
      <c r="G19" s="268" t="s">
        <v>185</v>
      </c>
    </row>
    <row r="20" spans="1:7" x14ac:dyDescent="0.3">
      <c r="A20" s="267"/>
      <c r="B20" s="267"/>
      <c r="C20" s="12"/>
      <c r="D20" s="269"/>
      <c r="E20" s="277"/>
      <c r="F20" s="277"/>
      <c r="G20" s="277"/>
    </row>
    <row r="21" spans="1:7" ht="20.149999999999999" customHeight="1" x14ac:dyDescent="0.3">
      <c r="A21" s="127" t="s">
        <v>21</v>
      </c>
      <c r="B21" s="128"/>
      <c r="C21" s="129"/>
      <c r="D21" s="13"/>
      <c r="E21" s="13"/>
      <c r="F21" s="58"/>
      <c r="G21" s="13"/>
    </row>
    <row r="22" spans="1:7" ht="50.15" customHeight="1" x14ac:dyDescent="0.3">
      <c r="A22" s="130" t="s">
        <v>14</v>
      </c>
      <c r="B22" s="249" t="s">
        <v>22</v>
      </c>
      <c r="C22" s="249"/>
      <c r="D22" s="15">
        <v>1</v>
      </c>
      <c r="E22" s="16"/>
      <c r="F22" s="59" t="s">
        <v>101</v>
      </c>
      <c r="G22" s="17" t="s">
        <v>23</v>
      </c>
    </row>
    <row r="23" spans="1:7" ht="50.15" customHeight="1" x14ac:dyDescent="0.3">
      <c r="A23" s="131" t="s">
        <v>15</v>
      </c>
      <c r="B23" s="249" t="s">
        <v>24</v>
      </c>
      <c r="C23" s="249"/>
      <c r="D23" s="22">
        <v>1</v>
      </c>
      <c r="E23" s="60"/>
      <c r="F23" s="61" t="s">
        <v>102</v>
      </c>
      <c r="G23" s="21" t="s">
        <v>23</v>
      </c>
    </row>
    <row r="24" spans="1:7" ht="50.15" customHeight="1" x14ac:dyDescent="0.3">
      <c r="A24" s="130" t="s">
        <v>17</v>
      </c>
      <c r="B24" s="249" t="s">
        <v>25</v>
      </c>
      <c r="C24" s="249"/>
      <c r="D24" s="18">
        <v>1</v>
      </c>
      <c r="E24" s="19"/>
      <c r="F24" s="20" t="s">
        <v>103</v>
      </c>
      <c r="G24" s="21"/>
    </row>
    <row r="25" spans="1:7" ht="20.149999999999999" customHeight="1" x14ac:dyDescent="0.3">
      <c r="A25" s="132" t="s">
        <v>26</v>
      </c>
      <c r="B25" s="250" t="s">
        <v>27</v>
      </c>
      <c r="C25" s="251"/>
      <c r="D25" s="252" t="s">
        <v>125</v>
      </c>
      <c r="E25" s="242"/>
      <c r="F25" s="255" t="s">
        <v>103</v>
      </c>
      <c r="G25" s="258"/>
    </row>
    <row r="26" spans="1:7" ht="50.15" customHeight="1" x14ac:dyDescent="0.3">
      <c r="A26" s="133"/>
      <c r="B26" s="135" t="s">
        <v>28</v>
      </c>
      <c r="C26" s="136" t="s">
        <v>186</v>
      </c>
      <c r="D26" s="253"/>
      <c r="E26" s="243"/>
      <c r="F26" s="256"/>
      <c r="G26" s="259"/>
    </row>
    <row r="27" spans="1:7" ht="50.15" customHeight="1" x14ac:dyDescent="0.3">
      <c r="A27" s="134"/>
      <c r="B27" s="137" t="s">
        <v>28</v>
      </c>
      <c r="C27" s="138" t="s">
        <v>29</v>
      </c>
      <c r="D27" s="254"/>
      <c r="E27" s="244"/>
      <c r="F27" s="257"/>
      <c r="G27" s="260"/>
    </row>
    <row r="28" spans="1:7" ht="50.15" customHeight="1" x14ac:dyDescent="0.3">
      <c r="A28" s="130" t="s">
        <v>30</v>
      </c>
      <c r="B28" s="249" t="s">
        <v>31</v>
      </c>
      <c r="C28" s="249"/>
      <c r="D28" s="22"/>
      <c r="E28" s="21"/>
      <c r="F28" s="44"/>
      <c r="G28" s="21"/>
    </row>
    <row r="29" spans="1:7" ht="20.149999999999999" customHeight="1" x14ac:dyDescent="0.3">
      <c r="A29" s="261" t="s">
        <v>32</v>
      </c>
      <c r="B29" s="262"/>
      <c r="C29" s="262"/>
      <c r="D29" s="263" t="s">
        <v>126</v>
      </c>
      <c r="E29" s="242"/>
      <c r="F29" s="270" t="s">
        <v>176</v>
      </c>
      <c r="G29" s="264"/>
    </row>
    <row r="30" spans="1:7" ht="50.15" customHeight="1" x14ac:dyDescent="0.3">
      <c r="A30" s="130" t="s">
        <v>33</v>
      </c>
      <c r="B30" s="249" t="s">
        <v>34</v>
      </c>
      <c r="C30" s="249"/>
      <c r="D30" s="263"/>
      <c r="E30" s="244"/>
      <c r="F30" s="271"/>
      <c r="G30" s="264"/>
    </row>
    <row r="31" spans="1:7" ht="50.15" customHeight="1" x14ac:dyDescent="0.3">
      <c r="A31" s="130" t="s">
        <v>35</v>
      </c>
      <c r="B31" s="249" t="s">
        <v>36</v>
      </c>
      <c r="C31" s="249"/>
      <c r="D31" s="23" t="s">
        <v>126</v>
      </c>
      <c r="E31" s="24"/>
      <c r="F31" s="25" t="s">
        <v>104</v>
      </c>
      <c r="G31" s="24"/>
    </row>
    <row r="32" spans="1:7" ht="50.15" customHeight="1" x14ac:dyDescent="0.3">
      <c r="A32" s="130" t="s">
        <v>37</v>
      </c>
      <c r="B32" s="249" t="s">
        <v>38</v>
      </c>
      <c r="C32" s="249"/>
      <c r="D32" s="23">
        <v>1</v>
      </c>
      <c r="E32" s="24"/>
      <c r="F32" s="26" t="s">
        <v>105</v>
      </c>
      <c r="G32" s="24"/>
    </row>
    <row r="33" spans="1:7" ht="50.15" customHeight="1" x14ac:dyDescent="0.3">
      <c r="A33" s="130" t="s">
        <v>39</v>
      </c>
      <c r="B33" s="249" t="s">
        <v>40</v>
      </c>
      <c r="C33" s="249"/>
      <c r="D33" s="23" t="s">
        <v>126</v>
      </c>
      <c r="E33" s="24"/>
      <c r="F33" s="26" t="s">
        <v>105</v>
      </c>
      <c r="G33" s="24"/>
    </row>
    <row r="34" spans="1:7" ht="50.15" customHeight="1" x14ac:dyDescent="0.3">
      <c r="A34" s="130" t="s">
        <v>41</v>
      </c>
      <c r="B34" s="249" t="s">
        <v>42</v>
      </c>
      <c r="C34" s="249"/>
      <c r="D34" s="23" t="s">
        <v>126</v>
      </c>
      <c r="E34" s="24"/>
      <c r="F34" s="26" t="s">
        <v>105</v>
      </c>
      <c r="G34" s="24"/>
    </row>
    <row r="35" spans="1:7" ht="21.75" customHeight="1" x14ac:dyDescent="0.3">
      <c r="A35" s="14"/>
      <c r="B35" s="27"/>
      <c r="C35" s="27"/>
      <c r="D35" s="28"/>
      <c r="E35" s="29"/>
      <c r="F35" s="30"/>
      <c r="G35" s="29"/>
    </row>
    <row r="36" spans="1:7" x14ac:dyDescent="0.3">
      <c r="A36" s="2"/>
      <c r="B36" s="2"/>
      <c r="C36" s="2"/>
      <c r="D36" s="31"/>
      <c r="E36" s="2"/>
      <c r="F36" s="2"/>
      <c r="G36" s="2"/>
    </row>
    <row r="37" spans="1:7" x14ac:dyDescent="0.3">
      <c r="D37" s="32"/>
      <c r="G37" s="33" t="s">
        <v>43</v>
      </c>
    </row>
    <row r="38" spans="1:7" x14ac:dyDescent="0.3">
      <c r="D38" s="32"/>
    </row>
    <row r="39" spans="1:7" x14ac:dyDescent="0.3">
      <c r="D39" s="32"/>
    </row>
    <row r="40" spans="1:7" x14ac:dyDescent="0.3">
      <c r="D40" s="32"/>
    </row>
    <row r="41" spans="1:7" x14ac:dyDescent="0.3">
      <c r="D41" s="32"/>
    </row>
    <row r="42" spans="1:7" x14ac:dyDescent="0.3">
      <c r="A42" s="1" t="s">
        <v>0</v>
      </c>
      <c r="B42" s="2"/>
      <c r="C42" s="2"/>
      <c r="D42" s="31"/>
      <c r="E42" s="2"/>
      <c r="F42" s="2"/>
      <c r="G42" s="3" t="s">
        <v>1</v>
      </c>
    </row>
    <row r="43" spans="1:7" x14ac:dyDescent="0.3">
      <c r="A43" s="9"/>
      <c r="D43" s="32"/>
    </row>
    <row r="44" spans="1:7" ht="15" customHeight="1" x14ac:dyDescent="0.3">
      <c r="A44" s="267"/>
      <c r="B44" s="267"/>
      <c r="C44" s="12"/>
      <c r="D44" s="268" t="s">
        <v>20</v>
      </c>
      <c r="E44" s="268" t="s">
        <v>184</v>
      </c>
      <c r="F44" s="268" t="s">
        <v>90</v>
      </c>
      <c r="G44" s="268" t="s">
        <v>185</v>
      </c>
    </row>
    <row r="45" spans="1:7" x14ac:dyDescent="0.3">
      <c r="A45" s="267"/>
      <c r="B45" s="267"/>
      <c r="C45" s="12"/>
      <c r="D45" s="269"/>
      <c r="E45" s="277"/>
      <c r="F45" s="277"/>
      <c r="G45" s="277"/>
    </row>
    <row r="46" spans="1:7" ht="20.149999999999999" customHeight="1" x14ac:dyDescent="0.3">
      <c r="A46" s="132" t="s">
        <v>44</v>
      </c>
      <c r="B46" s="251" t="s">
        <v>45</v>
      </c>
      <c r="C46" s="249"/>
      <c r="D46" s="252">
        <v>1</v>
      </c>
      <c r="E46" s="246"/>
      <c r="F46" s="272" t="s">
        <v>104</v>
      </c>
      <c r="G46" s="273"/>
    </row>
    <row r="47" spans="1:7" ht="50.15" customHeight="1" x14ac:dyDescent="0.3">
      <c r="A47" s="142"/>
      <c r="B47" s="141" t="s">
        <v>46</v>
      </c>
      <c r="C47" s="139" t="s">
        <v>47</v>
      </c>
      <c r="D47" s="253"/>
      <c r="E47" s="247"/>
      <c r="F47" s="272"/>
      <c r="G47" s="274"/>
    </row>
    <row r="48" spans="1:7" ht="50.15" customHeight="1" x14ac:dyDescent="0.3">
      <c r="A48" s="142"/>
      <c r="B48" s="141" t="s">
        <v>48</v>
      </c>
      <c r="C48" s="140" t="s">
        <v>49</v>
      </c>
      <c r="D48" s="253"/>
      <c r="E48" s="247"/>
      <c r="F48" s="272"/>
      <c r="G48" s="274"/>
    </row>
    <row r="49" spans="1:7" ht="50.15" customHeight="1" x14ac:dyDescent="0.3">
      <c r="A49" s="93"/>
      <c r="B49" s="141" t="s">
        <v>50</v>
      </c>
      <c r="C49" s="139" t="s">
        <v>51</v>
      </c>
      <c r="D49" s="254"/>
      <c r="E49" s="248"/>
      <c r="F49" s="272"/>
      <c r="G49" s="275"/>
    </row>
    <row r="50" spans="1:7" ht="20.149999999999999" customHeight="1" x14ac:dyDescent="0.3">
      <c r="A50" s="276" t="s">
        <v>52</v>
      </c>
      <c r="B50" s="264"/>
      <c r="C50" s="264"/>
      <c r="D50" s="252">
        <v>2</v>
      </c>
      <c r="E50" s="242"/>
      <c r="F50" s="255" t="s">
        <v>121</v>
      </c>
      <c r="G50" s="258"/>
    </row>
    <row r="51" spans="1:7" ht="20.149999999999999" customHeight="1" x14ac:dyDescent="0.3">
      <c r="A51" s="132" t="s">
        <v>53</v>
      </c>
      <c r="B51" s="251" t="s">
        <v>54</v>
      </c>
      <c r="C51" s="249"/>
      <c r="D51" s="253"/>
      <c r="E51" s="243"/>
      <c r="F51" s="256"/>
      <c r="G51" s="259"/>
    </row>
    <row r="52" spans="1:7" ht="50.15" customHeight="1" x14ac:dyDescent="0.3">
      <c r="A52" s="133"/>
      <c r="B52" s="143" t="s">
        <v>46</v>
      </c>
      <c r="C52" s="144" t="s">
        <v>55</v>
      </c>
      <c r="D52" s="253"/>
      <c r="E52" s="243"/>
      <c r="F52" s="256"/>
      <c r="G52" s="259"/>
    </row>
    <row r="53" spans="1:7" ht="20.149999999999999" customHeight="1" x14ac:dyDescent="0.3">
      <c r="A53" s="133"/>
      <c r="B53" s="135"/>
      <c r="C53" s="144" t="s">
        <v>56</v>
      </c>
      <c r="D53" s="253"/>
      <c r="E53" s="243"/>
      <c r="F53" s="256"/>
      <c r="G53" s="259"/>
    </row>
    <row r="54" spans="1:7" ht="54" customHeight="1" x14ac:dyDescent="0.3">
      <c r="A54" s="134"/>
      <c r="B54" s="143" t="s">
        <v>48</v>
      </c>
      <c r="C54" s="144" t="s">
        <v>57</v>
      </c>
      <c r="D54" s="254"/>
      <c r="E54" s="244"/>
      <c r="F54" s="257"/>
      <c r="G54" s="260"/>
    </row>
    <row r="55" spans="1:7" ht="20.149999999999999" customHeight="1" x14ac:dyDescent="0.3">
      <c r="A55" s="289" t="s">
        <v>58</v>
      </c>
      <c r="B55" s="262"/>
      <c r="C55" s="262"/>
      <c r="D55" s="263" t="s">
        <v>126</v>
      </c>
      <c r="E55" s="242"/>
      <c r="F55" s="294" t="s">
        <v>102</v>
      </c>
      <c r="G55" s="264" t="s">
        <v>23</v>
      </c>
    </row>
    <row r="56" spans="1:7" ht="88.5" customHeight="1" x14ac:dyDescent="0.3">
      <c r="A56" s="130" t="s">
        <v>59</v>
      </c>
      <c r="B56" s="249" t="s">
        <v>187</v>
      </c>
      <c r="C56" s="249"/>
      <c r="D56" s="263"/>
      <c r="E56" s="244"/>
      <c r="F56" s="294"/>
      <c r="G56" s="264"/>
    </row>
    <row r="57" spans="1:7" ht="20.149999999999999" customHeight="1" x14ac:dyDescent="0.3">
      <c r="A57" s="289" t="s">
        <v>60</v>
      </c>
      <c r="B57" s="262"/>
      <c r="C57" s="262"/>
      <c r="D57" s="252">
        <v>3</v>
      </c>
      <c r="E57" s="21"/>
      <c r="F57" s="255" t="s">
        <v>110</v>
      </c>
      <c r="G57" s="258"/>
    </row>
    <row r="58" spans="1:7" ht="50.15" customHeight="1" x14ac:dyDescent="0.3">
      <c r="A58" s="130" t="s">
        <v>61</v>
      </c>
      <c r="B58" s="249" t="s">
        <v>62</v>
      </c>
      <c r="C58" s="249"/>
      <c r="D58" s="254"/>
      <c r="E58" s="17"/>
      <c r="F58" s="257"/>
      <c r="G58" s="260"/>
    </row>
    <row r="59" spans="1:7" x14ac:dyDescent="0.3">
      <c r="A59" s="145" t="s">
        <v>63</v>
      </c>
      <c r="B59" s="34"/>
      <c r="C59" s="34"/>
      <c r="D59" s="252"/>
      <c r="E59" s="21"/>
      <c r="F59" s="258"/>
      <c r="G59" s="258"/>
    </row>
    <row r="60" spans="1:7" ht="50.15" customHeight="1" x14ac:dyDescent="0.3">
      <c r="A60" s="130" t="s">
        <v>64</v>
      </c>
      <c r="B60" s="249"/>
      <c r="C60" s="249"/>
      <c r="D60" s="254"/>
      <c r="E60" s="17"/>
      <c r="F60" s="260"/>
      <c r="G60" s="260"/>
    </row>
    <row r="61" spans="1:7" ht="50.15" customHeight="1" x14ac:dyDescent="0.3">
      <c r="A61" s="130" t="s">
        <v>65</v>
      </c>
      <c r="B61" s="249"/>
      <c r="C61" s="249"/>
      <c r="D61" s="23"/>
      <c r="E61" s="8"/>
      <c r="F61" s="8"/>
      <c r="G61" s="8"/>
    </row>
    <row r="62" spans="1:7" ht="50.15" customHeight="1" x14ac:dyDescent="0.3">
      <c r="A62" s="130" t="s">
        <v>66</v>
      </c>
      <c r="B62" s="245"/>
      <c r="C62" s="245"/>
      <c r="D62" s="23"/>
      <c r="E62" s="8"/>
      <c r="F62" s="8"/>
      <c r="G62" s="8"/>
    </row>
    <row r="63" spans="1:7" ht="277.5" customHeight="1" x14ac:dyDescent="0.3">
      <c r="A63" s="2"/>
      <c r="B63" s="2"/>
      <c r="C63" s="2"/>
      <c r="D63" s="35"/>
      <c r="E63" s="2"/>
      <c r="F63" s="2"/>
      <c r="G63" s="2"/>
    </row>
    <row r="64" spans="1:7" x14ac:dyDescent="0.3">
      <c r="D64" s="36"/>
      <c r="G64" s="37" t="s">
        <v>67</v>
      </c>
    </row>
    <row r="65" spans="1:7" x14ac:dyDescent="0.3">
      <c r="D65" s="36"/>
    </row>
    <row r="66" spans="1:7" x14ac:dyDescent="0.3">
      <c r="A66" s="1" t="s">
        <v>0</v>
      </c>
      <c r="B66" s="2"/>
      <c r="C66" s="2"/>
      <c r="D66" s="35"/>
      <c r="E66" s="2"/>
      <c r="F66" s="2"/>
      <c r="G66" s="3" t="s">
        <v>1</v>
      </c>
    </row>
    <row r="67" spans="1:7" x14ac:dyDescent="0.3">
      <c r="D67" s="36"/>
    </row>
    <row r="68" spans="1:7" x14ac:dyDescent="0.3">
      <c r="A68" s="38" t="s">
        <v>68</v>
      </c>
      <c r="B68" s="39"/>
      <c r="C68" s="39"/>
      <c r="D68" s="39"/>
      <c r="E68" s="39"/>
      <c r="F68" s="39"/>
      <c r="G68" s="40"/>
    </row>
    <row r="69" spans="1:7" ht="27" customHeight="1" x14ac:dyDescent="0.3">
      <c r="A69" s="280" t="s">
        <v>89</v>
      </c>
      <c r="B69" s="280" t="s">
        <v>69</v>
      </c>
      <c r="C69" s="281"/>
      <c r="D69" s="284" t="s">
        <v>193</v>
      </c>
      <c r="E69" s="280" t="s">
        <v>70</v>
      </c>
      <c r="F69" s="285"/>
      <c r="G69" s="286"/>
    </row>
    <row r="70" spans="1:7" ht="27" customHeight="1" x14ac:dyDescent="0.3">
      <c r="A70" s="282"/>
      <c r="B70" s="282"/>
      <c r="C70" s="283"/>
      <c r="D70" s="254"/>
      <c r="E70" s="287" t="s">
        <v>71</v>
      </c>
      <c r="F70" s="288"/>
      <c r="G70" s="41" t="s">
        <v>72</v>
      </c>
    </row>
    <row r="71" spans="1:7" ht="66" customHeight="1" x14ac:dyDescent="0.3">
      <c r="A71" s="42">
        <v>1</v>
      </c>
      <c r="B71" s="278"/>
      <c r="C71" s="279"/>
      <c r="D71" s="43"/>
      <c r="E71" s="265"/>
      <c r="F71" s="266"/>
      <c r="G71" s="21"/>
    </row>
    <row r="72" spans="1:7" ht="66" customHeight="1" x14ac:dyDescent="0.3">
      <c r="A72" s="44">
        <v>2</v>
      </c>
      <c r="B72" s="264"/>
      <c r="C72" s="264"/>
      <c r="D72" s="43"/>
      <c r="E72" s="265" t="s">
        <v>194</v>
      </c>
      <c r="F72" s="266"/>
      <c r="G72" s="24"/>
    </row>
    <row r="73" spans="1:7" x14ac:dyDescent="0.3">
      <c r="A73" s="45"/>
      <c r="B73" s="7"/>
      <c r="C73" s="7"/>
      <c r="D73" s="7"/>
      <c r="E73" s="7"/>
      <c r="F73" s="7"/>
      <c r="G73" s="29"/>
    </row>
    <row r="74" spans="1:7" x14ac:dyDescent="0.3">
      <c r="A74" s="9" t="s">
        <v>73</v>
      </c>
    </row>
    <row r="75" spans="1:7" x14ac:dyDescent="0.3">
      <c r="A75" s="9"/>
    </row>
    <row r="76" spans="1:7" x14ac:dyDescent="0.3">
      <c r="A76" s="4" t="s">
        <v>74</v>
      </c>
    </row>
    <row r="77" spans="1:7" ht="20.149999999999999" customHeight="1" x14ac:dyDescent="0.3">
      <c r="A77" s="11" t="s">
        <v>14</v>
      </c>
      <c r="B77" s="4" t="s">
        <v>75</v>
      </c>
    </row>
    <row r="78" spans="1:7" ht="20.149999999999999" customHeight="1" x14ac:dyDescent="0.3">
      <c r="A78" s="11" t="s">
        <v>15</v>
      </c>
      <c r="B78" s="4" t="s">
        <v>76</v>
      </c>
    </row>
    <row r="79" spans="1:7" ht="20.149999999999999" customHeight="1" x14ac:dyDescent="0.3">
      <c r="A79" s="11" t="s">
        <v>17</v>
      </c>
      <c r="B79" s="290" t="s">
        <v>77</v>
      </c>
      <c r="C79" s="291"/>
      <c r="D79" s="291"/>
      <c r="E79" s="291"/>
      <c r="F79" s="291"/>
      <c r="G79" s="291"/>
    </row>
    <row r="80" spans="1:7" ht="20.149999999999999" customHeight="1" x14ac:dyDescent="0.3">
      <c r="A80" s="11" t="s">
        <v>26</v>
      </c>
      <c r="B80" s="290" t="s">
        <v>78</v>
      </c>
      <c r="C80" s="291"/>
      <c r="D80" s="291"/>
      <c r="E80" s="291"/>
      <c r="F80" s="291"/>
      <c r="G80" s="291"/>
    </row>
    <row r="81" spans="1:7" ht="30" customHeight="1" x14ac:dyDescent="0.3">
      <c r="A81" s="10" t="s">
        <v>30</v>
      </c>
      <c r="B81" s="290" t="s">
        <v>122</v>
      </c>
      <c r="C81" s="291"/>
      <c r="D81" s="291"/>
      <c r="E81" s="291"/>
      <c r="F81" s="291"/>
      <c r="G81" s="291"/>
    </row>
    <row r="83" spans="1:7" ht="33.75" customHeight="1" x14ac:dyDescent="0.3">
      <c r="A83" s="292"/>
      <c r="B83" s="293"/>
      <c r="C83" s="46" t="s">
        <v>79</v>
      </c>
      <c r="D83" s="46" t="s">
        <v>80</v>
      </c>
      <c r="E83" s="46" t="s">
        <v>81</v>
      </c>
      <c r="F83" s="46" t="s">
        <v>82</v>
      </c>
    </row>
    <row r="84" spans="1:7" ht="30" customHeight="1" x14ac:dyDescent="0.3">
      <c r="A84" s="264" t="s">
        <v>83</v>
      </c>
      <c r="B84" s="262"/>
      <c r="C84" s="47"/>
      <c r="D84" s="47"/>
      <c r="E84" s="47"/>
      <c r="F84" s="47"/>
    </row>
    <row r="85" spans="1:7" ht="30" customHeight="1" x14ac:dyDescent="0.3">
      <c r="A85" s="264" t="s">
        <v>84</v>
      </c>
      <c r="B85" s="262"/>
      <c r="C85" s="47"/>
      <c r="D85" s="47"/>
      <c r="E85" s="47"/>
      <c r="F85" s="47"/>
    </row>
    <row r="86" spans="1:7" ht="30" customHeight="1" x14ac:dyDescent="0.3">
      <c r="A86" s="48" t="s">
        <v>85</v>
      </c>
      <c r="B86" s="47"/>
      <c r="C86" s="47"/>
      <c r="D86" s="47"/>
      <c r="E86" s="47"/>
      <c r="F86" s="47"/>
    </row>
    <row r="87" spans="1:7" x14ac:dyDescent="0.3">
      <c r="A87" s="9"/>
    </row>
    <row r="88" spans="1:7" x14ac:dyDescent="0.3">
      <c r="A88" s="49" t="s">
        <v>86</v>
      </c>
      <c r="B88" s="50"/>
      <c r="C88" s="50"/>
      <c r="D88" s="50"/>
      <c r="E88" s="50"/>
      <c r="F88" s="50"/>
      <c r="G88" s="51"/>
    </row>
    <row r="89" spans="1:7" x14ac:dyDescent="0.3">
      <c r="A89" s="52"/>
      <c r="G89" s="53"/>
    </row>
    <row r="90" spans="1:7" x14ac:dyDescent="0.3">
      <c r="A90" s="52"/>
      <c r="G90" s="53"/>
    </row>
    <row r="91" spans="1:7" x14ac:dyDescent="0.3">
      <c r="A91" s="52"/>
      <c r="G91" s="53"/>
    </row>
    <row r="92" spans="1:7" x14ac:dyDescent="0.3">
      <c r="A92" s="52"/>
      <c r="G92" s="53"/>
    </row>
    <row r="93" spans="1:7" x14ac:dyDescent="0.3">
      <c r="A93" s="52"/>
      <c r="G93" s="53"/>
    </row>
    <row r="94" spans="1:7" x14ac:dyDescent="0.3">
      <c r="A94" s="52"/>
      <c r="G94" s="53"/>
    </row>
    <row r="95" spans="1:7" x14ac:dyDescent="0.3">
      <c r="A95" s="52"/>
      <c r="G95" s="53"/>
    </row>
    <row r="96" spans="1:7" x14ac:dyDescent="0.3">
      <c r="A96" s="54" t="s">
        <v>87</v>
      </c>
      <c r="D96" s="4" t="s">
        <v>192</v>
      </c>
      <c r="G96" s="53"/>
    </row>
    <row r="97" spans="1:7" x14ac:dyDescent="0.3">
      <c r="A97" s="55"/>
      <c r="B97" s="2"/>
      <c r="C97" s="2"/>
      <c r="D97" s="2"/>
      <c r="E97" s="2"/>
      <c r="F97" s="2"/>
      <c r="G97" s="56"/>
    </row>
    <row r="98" spans="1:7" x14ac:dyDescent="0.3">
      <c r="A98" s="9"/>
    </row>
    <row r="99" spans="1:7" x14ac:dyDescent="0.3">
      <c r="A99" s="9"/>
    </row>
    <row r="100" spans="1:7" x14ac:dyDescent="0.3">
      <c r="A100" s="9"/>
    </row>
    <row r="101" spans="1:7" x14ac:dyDescent="0.3">
      <c r="A101" s="9"/>
    </row>
    <row r="102" spans="1:7" x14ac:dyDescent="0.3">
      <c r="A102" s="9"/>
    </row>
    <row r="103" spans="1:7" x14ac:dyDescent="0.3">
      <c r="A103" s="9"/>
    </row>
    <row r="104" spans="1:7" x14ac:dyDescent="0.3">
      <c r="A104" s="9"/>
    </row>
    <row r="105" spans="1:7" x14ac:dyDescent="0.3">
      <c r="A105" s="9"/>
    </row>
    <row r="106" spans="1:7" x14ac:dyDescent="0.3">
      <c r="A106" s="9"/>
    </row>
    <row r="107" spans="1:7" ht="108" customHeight="1" x14ac:dyDescent="0.3">
      <c r="A107" s="9"/>
    </row>
    <row r="108" spans="1:7" x14ac:dyDescent="0.3">
      <c r="A108" s="9"/>
    </row>
    <row r="109" spans="1:7" x14ac:dyDescent="0.3">
      <c r="A109" s="9"/>
    </row>
    <row r="110" spans="1:7" x14ac:dyDescent="0.3">
      <c r="A110" s="9"/>
    </row>
    <row r="111" spans="1:7" x14ac:dyDescent="0.3">
      <c r="A111" s="9"/>
    </row>
    <row r="112" spans="1:7" x14ac:dyDescent="0.3">
      <c r="A112" s="2"/>
      <c r="B112" s="2"/>
      <c r="C112" s="2"/>
      <c r="D112" s="2"/>
      <c r="E112" s="2"/>
      <c r="F112" s="2"/>
      <c r="G112" s="2"/>
    </row>
    <row r="113" spans="7:7" x14ac:dyDescent="0.3">
      <c r="G113" s="33" t="s">
        <v>88</v>
      </c>
    </row>
  </sheetData>
  <mergeCells count="80">
    <mergeCell ref="E71:F71"/>
    <mergeCell ref="E72:F72"/>
    <mergeCell ref="A84:B84"/>
    <mergeCell ref="A85:B85"/>
    <mergeCell ref="E19:E20"/>
    <mergeCell ref="F19:F20"/>
    <mergeCell ref="B72:C72"/>
    <mergeCell ref="B79:G79"/>
    <mergeCell ref="B80:G80"/>
    <mergeCell ref="B81:G81"/>
    <mergeCell ref="A83:B83"/>
    <mergeCell ref="A69:A70"/>
    <mergeCell ref="F55:F56"/>
    <mergeCell ref="G55:G56"/>
    <mergeCell ref="B56:C56"/>
    <mergeCell ref="A57:C57"/>
    <mergeCell ref="G19:G20"/>
    <mergeCell ref="E44:E45"/>
    <mergeCell ref="F44:F45"/>
    <mergeCell ref="G44:G45"/>
    <mergeCell ref="B71:C71"/>
    <mergeCell ref="D59:D60"/>
    <mergeCell ref="F59:F60"/>
    <mergeCell ref="G59:G60"/>
    <mergeCell ref="B60:C60"/>
    <mergeCell ref="B61:C61"/>
    <mergeCell ref="B69:C70"/>
    <mergeCell ref="D69:D70"/>
    <mergeCell ref="E69:G69"/>
    <mergeCell ref="E70:F70"/>
    <mergeCell ref="A55:C55"/>
    <mergeCell ref="D55:D56"/>
    <mergeCell ref="G57:G58"/>
    <mergeCell ref="B58:C58"/>
    <mergeCell ref="D44:D45"/>
    <mergeCell ref="B46:C46"/>
    <mergeCell ref="D46:D49"/>
    <mergeCell ref="F46:F49"/>
    <mergeCell ref="G46:G49"/>
    <mergeCell ref="A50:C50"/>
    <mergeCell ref="D50:D54"/>
    <mergeCell ref="F50:F54"/>
    <mergeCell ref="G50:G54"/>
    <mergeCell ref="B51:C51"/>
    <mergeCell ref="B34:C34"/>
    <mergeCell ref="A44:A45"/>
    <mergeCell ref="B44:B45"/>
    <mergeCell ref="D57:D58"/>
    <mergeCell ref="F57:F58"/>
    <mergeCell ref="B30:C30"/>
    <mergeCell ref="B31:C31"/>
    <mergeCell ref="F29:F30"/>
    <mergeCell ref="B32:C32"/>
    <mergeCell ref="B33:C33"/>
    <mergeCell ref="A19:A20"/>
    <mergeCell ref="B19:B20"/>
    <mergeCell ref="D19:D20"/>
    <mergeCell ref="B22:C22"/>
    <mergeCell ref="B23:C23"/>
    <mergeCell ref="B5:C5"/>
    <mergeCell ref="B6:C6"/>
    <mergeCell ref="B7:C7"/>
    <mergeCell ref="B13:G13"/>
    <mergeCell ref="B14:G14"/>
    <mergeCell ref="B15:G15"/>
    <mergeCell ref="E25:E27"/>
    <mergeCell ref="E29:E30"/>
    <mergeCell ref="B62:C62"/>
    <mergeCell ref="E55:E56"/>
    <mergeCell ref="E50:E54"/>
    <mergeCell ref="E46:E49"/>
    <mergeCell ref="B24:C24"/>
    <mergeCell ref="B25:C25"/>
    <mergeCell ref="D25:D27"/>
    <mergeCell ref="F25:F27"/>
    <mergeCell ref="G25:G27"/>
    <mergeCell ref="B28:C28"/>
    <mergeCell ref="A29:C29"/>
    <mergeCell ref="D29:D30"/>
    <mergeCell ref="G29:G30"/>
  </mergeCells>
  <hyperlinks>
    <hyperlink ref="F22" location="'Lead Schedule'!A1" display="Lead Schedule - Annex M 1" xr:uid="{00000000-0004-0000-0000-000000000000}"/>
    <hyperlink ref="F23" location="'Lead Schedule'!A1" display="Annex M 1" xr:uid="{00000000-0004-0000-0000-000001000000}"/>
    <hyperlink ref="F24" location="'Analytical Review'!A1" display="Annex M 2" xr:uid="{00000000-0004-0000-0000-000002000000}"/>
    <hyperlink ref="F25:F27" location="'Analytical Review'!A1" display="Annex M 2" xr:uid="{00000000-0004-0000-0000-000003000000}"/>
    <hyperlink ref="F32" location="LoanSchedule!A1" display="Annex M 4" xr:uid="{00000000-0004-0000-0000-000004000000}"/>
    <hyperlink ref="F33" location="LoanSchedule!A1" display="Annex M 4" xr:uid="{00000000-0004-0000-0000-000005000000}"/>
    <hyperlink ref="F34" location="LoanSchedule!A1" display="Annex M 4" xr:uid="{00000000-0004-0000-0000-000006000000}"/>
    <hyperlink ref="F55:F56" location="'Lead Schedule'!A1" display="Annex M 1" xr:uid="{00000000-0004-0000-0000-000007000000}"/>
    <hyperlink ref="F46:F49" location="'Documents Verification'!A1" display="Annex M 3" xr:uid="{00000000-0004-0000-0000-000008000000}"/>
    <hyperlink ref="F57:F58" location="Disclosure!A1" display="Annex M 6" xr:uid="{00000000-0004-0000-0000-000009000000}"/>
    <hyperlink ref="F50:F54" location="'Deferred Income'!A1" display="Annex M 5" xr:uid="{00000000-0004-0000-0000-00000A000000}"/>
    <hyperlink ref="F29:F30" location="'Confirmation Log'!A1" display="Annex M 4.2" xr:uid="{00000000-0004-0000-0000-00000B000000}"/>
    <hyperlink ref="F31" location="Sheet1!A1" display="Annex M 3" xr:uid="{00000000-0004-0000-0000-00000C000000}"/>
  </hyperlinks>
  <pageMargins left="1" right="0.25" top="0.4" bottom="0.4" header="0.3" footer="0.3"/>
  <pageSetup paperSize="9" scale="7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5"/>
  <sheetViews>
    <sheetView tabSelected="1" view="pageBreakPreview" topLeftCell="A11" zoomScaleNormal="100" zoomScaleSheetLayoutView="100" workbookViewId="0">
      <selection activeCell="H14" sqref="H14"/>
    </sheetView>
  </sheetViews>
  <sheetFormatPr defaultColWidth="9.1796875" defaultRowHeight="14" x14ac:dyDescent="0.3"/>
  <cols>
    <col min="1" max="1" width="15.54296875" style="154" customWidth="1"/>
    <col min="2" max="2" width="2.26953125" style="154" customWidth="1"/>
    <col min="3" max="3" width="9.1796875" style="154"/>
    <col min="4" max="4" width="9.453125" style="154" customWidth="1"/>
    <col min="5" max="5" width="4.26953125" style="154" customWidth="1"/>
    <col min="6" max="6" width="14.1796875" style="154" customWidth="1"/>
    <col min="7" max="7" width="0.54296875" style="154" customWidth="1"/>
    <col min="8" max="8" width="12.26953125" style="154" customWidth="1"/>
    <col min="9" max="9" width="9.1796875" style="154"/>
    <col min="10" max="10" width="13.7265625" style="154" customWidth="1"/>
    <col min="11" max="16384" width="9.1796875" style="154"/>
  </cols>
  <sheetData>
    <row r="1" spans="1:10" x14ac:dyDescent="0.3">
      <c r="A1" s="170"/>
      <c r="B1" s="171"/>
      <c r="C1" s="171"/>
      <c r="D1" s="171"/>
      <c r="E1" s="171"/>
      <c r="F1" s="171"/>
      <c r="G1" s="171"/>
      <c r="H1" s="172"/>
      <c r="I1" s="171"/>
      <c r="J1" s="296" t="s">
        <v>256</v>
      </c>
    </row>
    <row r="2" spans="1:10" x14ac:dyDescent="0.3">
      <c r="A2" s="170"/>
      <c r="B2" s="171"/>
      <c r="C2" s="171"/>
      <c r="D2" s="171"/>
      <c r="E2" s="171"/>
      <c r="F2" s="171"/>
      <c r="G2" s="171"/>
      <c r="H2" s="172"/>
      <c r="I2" s="171"/>
      <c r="J2" s="297"/>
    </row>
    <row r="3" spans="1:10" ht="14.5" thickBot="1" x14ac:dyDescent="0.35">
      <c r="A3" s="170"/>
      <c r="B3" s="171"/>
      <c r="C3" s="171"/>
      <c r="D3" s="171"/>
      <c r="E3" s="171"/>
      <c r="F3" s="171"/>
      <c r="G3" s="171"/>
      <c r="H3" s="172"/>
      <c r="I3" s="171"/>
      <c r="J3" s="298"/>
    </row>
    <row r="4" spans="1:10" x14ac:dyDescent="0.3">
      <c r="A4" s="170"/>
      <c r="B4" s="171"/>
      <c r="C4" s="171"/>
      <c r="D4" s="171"/>
      <c r="E4" s="171"/>
      <c r="F4" s="171"/>
      <c r="G4" s="171"/>
      <c r="H4" s="172"/>
      <c r="I4" s="171"/>
      <c r="J4" s="171"/>
    </row>
    <row r="5" spans="1:10" x14ac:dyDescent="0.3">
      <c r="A5" s="173" t="s">
        <v>230</v>
      </c>
      <c r="B5" s="174" t="s">
        <v>231</v>
      </c>
      <c r="C5" s="299"/>
      <c r="D5" s="299"/>
      <c r="E5" s="299"/>
      <c r="F5" s="175" t="s">
        <v>232</v>
      </c>
      <c r="G5" s="176"/>
      <c r="H5" s="176"/>
      <c r="I5" s="177" t="s">
        <v>82</v>
      </c>
      <c r="J5" s="178"/>
    </row>
    <row r="6" spans="1:10" x14ac:dyDescent="0.3">
      <c r="A6" s="171" t="s">
        <v>233</v>
      </c>
      <c r="B6" s="174" t="s">
        <v>231</v>
      </c>
      <c r="C6" s="179" t="s">
        <v>261</v>
      </c>
      <c r="D6" s="171"/>
      <c r="E6" s="171"/>
      <c r="F6" s="180" t="s">
        <v>234</v>
      </c>
      <c r="G6" s="181"/>
      <c r="H6" s="181"/>
      <c r="I6" s="182" t="s">
        <v>82</v>
      </c>
      <c r="J6" s="183"/>
    </row>
    <row r="7" spans="1:10" x14ac:dyDescent="0.3">
      <c r="A7" s="171" t="s">
        <v>235</v>
      </c>
      <c r="B7" s="174" t="s">
        <v>231</v>
      </c>
      <c r="C7" s="184" t="s">
        <v>255</v>
      </c>
      <c r="D7" s="171"/>
      <c r="E7" s="171"/>
      <c r="F7" s="180" t="s">
        <v>236</v>
      </c>
      <c r="G7" s="181"/>
      <c r="H7" s="181"/>
      <c r="I7" s="182" t="s">
        <v>82</v>
      </c>
      <c r="J7" s="183"/>
    </row>
    <row r="8" spans="1:10" x14ac:dyDescent="0.3">
      <c r="A8" s="171"/>
      <c r="B8" s="171"/>
      <c r="C8" s="171"/>
      <c r="D8" s="171"/>
      <c r="E8" s="171"/>
      <c r="F8" s="180" t="s">
        <v>237</v>
      </c>
      <c r="G8" s="181"/>
      <c r="H8" s="181"/>
      <c r="I8" s="182" t="s">
        <v>82</v>
      </c>
      <c r="J8" s="183"/>
    </row>
    <row r="9" spans="1:10" x14ac:dyDescent="0.3">
      <c r="A9" s="300" t="s">
        <v>238</v>
      </c>
      <c r="B9" s="300"/>
      <c r="C9" s="300"/>
      <c r="D9" s="300"/>
      <c r="E9" s="300"/>
      <c r="F9" s="300"/>
      <c r="G9" s="185"/>
      <c r="H9" s="185"/>
      <c r="I9" s="186"/>
      <c r="J9" s="187"/>
    </row>
    <row r="10" spans="1:10" x14ac:dyDescent="0.3">
      <c r="A10" s="188"/>
      <c r="B10" s="188"/>
      <c r="C10" s="188"/>
      <c r="D10" s="188"/>
      <c r="E10" s="188"/>
      <c r="F10" s="188"/>
      <c r="G10" s="185"/>
      <c r="H10" s="185"/>
      <c r="I10" s="186"/>
      <c r="J10" s="187"/>
    </row>
    <row r="11" spans="1:10" ht="14.5" thickBot="1" x14ac:dyDescent="0.35"/>
    <row r="12" spans="1:10" ht="15" customHeight="1" x14ac:dyDescent="0.3">
      <c r="C12" s="301" t="s">
        <v>117</v>
      </c>
      <c r="D12" s="302"/>
      <c r="E12" s="303"/>
      <c r="F12" s="307" t="s">
        <v>261</v>
      </c>
      <c r="G12" s="236"/>
      <c r="H12" s="307" t="s">
        <v>260</v>
      </c>
      <c r="I12" s="309"/>
    </row>
    <row r="13" spans="1:10" ht="14.5" thickBot="1" x14ac:dyDescent="0.35">
      <c r="C13" s="304"/>
      <c r="D13" s="305"/>
      <c r="E13" s="306"/>
      <c r="F13" s="308"/>
      <c r="G13" s="237"/>
      <c r="H13" s="308"/>
      <c r="I13" s="309"/>
    </row>
    <row r="14" spans="1:10" x14ac:dyDescent="0.3">
      <c r="C14" s="310"/>
      <c r="D14" s="310"/>
      <c r="E14" s="310"/>
      <c r="F14" s="189"/>
      <c r="G14" s="190"/>
      <c r="H14" s="191"/>
      <c r="I14" s="192"/>
    </row>
    <row r="15" spans="1:10" x14ac:dyDescent="0.3">
      <c r="C15" s="311" t="s">
        <v>255</v>
      </c>
      <c r="D15" s="312"/>
      <c r="E15" s="313"/>
      <c r="F15" s="238">
        <v>0</v>
      </c>
      <c r="G15" s="239"/>
      <c r="H15" s="238">
        <v>0</v>
      </c>
      <c r="I15" s="192"/>
    </row>
    <row r="16" spans="1:10" ht="14.5" thickBot="1" x14ac:dyDescent="0.35">
      <c r="C16" s="314"/>
      <c r="D16" s="314"/>
      <c r="E16" s="314"/>
      <c r="F16" s="240">
        <f>F15</f>
        <v>0</v>
      </c>
      <c r="G16" s="193" t="e">
        <f>SUM(#REF!)</f>
        <v>#REF!</v>
      </c>
      <c r="H16" s="240">
        <f>H15</f>
        <v>0</v>
      </c>
      <c r="I16" s="193"/>
    </row>
    <row r="17" spans="1:10" ht="14.5" thickTop="1" x14ac:dyDescent="0.3"/>
    <row r="19" spans="1:10" x14ac:dyDescent="0.3">
      <c r="A19" s="187" t="s">
        <v>239</v>
      </c>
      <c r="B19" s="194" t="s">
        <v>240</v>
      </c>
      <c r="C19" s="187" t="s">
        <v>241</v>
      </c>
    </row>
    <row r="20" spans="1:10" x14ac:dyDescent="0.3">
      <c r="B20" s="194" t="s">
        <v>240</v>
      </c>
      <c r="C20" s="154" t="s">
        <v>257</v>
      </c>
    </row>
    <row r="21" spans="1:10" x14ac:dyDescent="0.3">
      <c r="B21" s="194" t="s">
        <v>240</v>
      </c>
      <c r="C21" s="154" t="s">
        <v>258</v>
      </c>
    </row>
    <row r="22" spans="1:10" x14ac:dyDescent="0.3">
      <c r="B22" s="194" t="s">
        <v>240</v>
      </c>
      <c r="C22" s="187" t="s">
        <v>242</v>
      </c>
    </row>
    <row r="24" spans="1:10" ht="15" customHeight="1" x14ac:dyDescent="0.3">
      <c r="A24" s="187" t="s">
        <v>243</v>
      </c>
      <c r="B24" s="194" t="s">
        <v>244</v>
      </c>
      <c r="C24" s="315" t="s">
        <v>254</v>
      </c>
      <c r="D24" s="315"/>
      <c r="E24" s="315"/>
      <c r="F24" s="315"/>
      <c r="G24" s="315"/>
      <c r="H24" s="315"/>
      <c r="I24" s="315"/>
      <c r="J24" s="315"/>
    </row>
    <row r="25" spans="1:10" x14ac:dyDescent="0.3">
      <c r="A25" s="187"/>
      <c r="B25" s="187"/>
      <c r="C25" s="315"/>
      <c r="D25" s="315"/>
      <c r="E25" s="315"/>
      <c r="F25" s="315"/>
      <c r="G25" s="315"/>
      <c r="H25" s="315"/>
      <c r="I25" s="315"/>
      <c r="J25" s="315"/>
    </row>
    <row r="28" spans="1:10" x14ac:dyDescent="0.3">
      <c r="A28" s="187" t="s">
        <v>245</v>
      </c>
      <c r="B28" s="194" t="s">
        <v>244</v>
      </c>
      <c r="C28" s="195" t="s">
        <v>246</v>
      </c>
      <c r="D28" s="187"/>
    </row>
    <row r="30" spans="1:10" x14ac:dyDescent="0.3">
      <c r="C30" s="154" t="s">
        <v>259</v>
      </c>
    </row>
    <row r="36" spans="1:12" x14ac:dyDescent="0.3">
      <c r="A36" s="154" t="s">
        <v>247</v>
      </c>
      <c r="B36" s="194" t="s">
        <v>244</v>
      </c>
    </row>
    <row r="45" spans="1:12" x14ac:dyDescent="0.3">
      <c r="A45" s="196" t="s">
        <v>248</v>
      </c>
      <c r="B45" s="196"/>
      <c r="C45" s="196"/>
      <c r="D45" s="196"/>
      <c r="E45" s="197" t="s">
        <v>244</v>
      </c>
      <c r="F45" s="295" t="s">
        <v>249</v>
      </c>
      <c r="G45" s="295"/>
      <c r="H45" s="295"/>
      <c r="I45" s="295"/>
      <c r="J45" s="295"/>
      <c r="K45" s="295"/>
      <c r="L45" s="295"/>
    </row>
  </sheetData>
  <mergeCells count="12">
    <mergeCell ref="F45:L45"/>
    <mergeCell ref="J1:J3"/>
    <mergeCell ref="C5:E5"/>
    <mergeCell ref="A9:F9"/>
    <mergeCell ref="C12:E13"/>
    <mergeCell ref="F12:F13"/>
    <mergeCell ref="H12:H13"/>
    <mergeCell ref="I12:I13"/>
    <mergeCell ref="C14:E14"/>
    <mergeCell ref="C15:E15"/>
    <mergeCell ref="C16:E16"/>
    <mergeCell ref="C24:J25"/>
  </mergeCells>
  <pageMargins left="0.7" right="0.7" top="0.75" bottom="0.75" header="0.3" footer="0.3"/>
  <pageSetup paperSize="9" scale="9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36"/>
  <sheetViews>
    <sheetView workbookViewId="0">
      <selection activeCell="B11" sqref="B11"/>
    </sheetView>
  </sheetViews>
  <sheetFormatPr defaultColWidth="9.1796875" defaultRowHeight="14" x14ac:dyDescent="0.3"/>
  <cols>
    <col min="1" max="1" width="6.1796875" style="4" customWidth="1"/>
    <col min="2" max="2" width="30.453125" style="4" customWidth="1"/>
    <col min="3" max="3" width="16.81640625" style="4" customWidth="1"/>
    <col min="4" max="4" width="17.54296875" style="4" customWidth="1"/>
    <col min="5" max="5" width="14.453125" style="4" bestFit="1" customWidth="1"/>
    <col min="6" max="6" width="16.1796875" style="4" customWidth="1"/>
    <col min="7" max="7" width="10.7265625" style="4" customWidth="1"/>
    <col min="8" max="8" width="61.7265625" style="4" customWidth="1"/>
    <col min="9" max="16384" width="9.1796875" style="4"/>
  </cols>
  <sheetData>
    <row r="1" spans="1:13" ht="22.5" x14ac:dyDescent="0.3">
      <c r="A1" s="65" t="s">
        <v>0</v>
      </c>
      <c r="C1" s="66"/>
      <c r="D1" s="67"/>
      <c r="E1" s="66"/>
      <c r="F1" s="68"/>
      <c r="G1" s="69"/>
      <c r="H1" s="70" t="s">
        <v>195</v>
      </c>
      <c r="I1" s="70"/>
      <c r="J1" s="70"/>
      <c r="K1" s="66"/>
      <c r="L1" s="66"/>
      <c r="M1" s="66"/>
    </row>
    <row r="3" spans="1:13" x14ac:dyDescent="0.3">
      <c r="A3" s="9" t="s">
        <v>91</v>
      </c>
      <c r="C3" s="9"/>
      <c r="H3" s="72" t="s">
        <v>97</v>
      </c>
    </row>
    <row r="4" spans="1:13" x14ac:dyDescent="0.3">
      <c r="A4" s="9" t="s">
        <v>127</v>
      </c>
      <c r="C4" s="9"/>
    </row>
    <row r="6" spans="1:13" x14ac:dyDescent="0.3">
      <c r="A6" s="9" t="s">
        <v>139</v>
      </c>
      <c r="C6" s="9"/>
      <c r="D6" s="9"/>
      <c r="E6" s="9"/>
      <c r="F6" s="9"/>
      <c r="G6" s="9"/>
      <c r="H6" s="9"/>
      <c r="I6" s="9"/>
    </row>
    <row r="7" spans="1:13" x14ac:dyDescent="0.3">
      <c r="B7" s="9"/>
      <c r="C7" s="9"/>
      <c r="D7" s="9"/>
      <c r="E7" s="9"/>
      <c r="F7" s="9"/>
      <c r="G7" s="9"/>
      <c r="H7" s="9"/>
      <c r="I7" s="9"/>
    </row>
    <row r="8" spans="1:13" x14ac:dyDescent="0.3">
      <c r="A8" s="89" t="s">
        <v>196</v>
      </c>
      <c r="B8" s="9" t="s">
        <v>197</v>
      </c>
      <c r="C8" s="9"/>
      <c r="D8" s="9"/>
      <c r="E8" s="9"/>
      <c r="F8" s="9"/>
      <c r="G8" s="9"/>
      <c r="H8" s="9"/>
      <c r="I8" s="9"/>
    </row>
    <row r="10" spans="1:13" ht="32.25" customHeight="1" x14ac:dyDescent="0.3">
      <c r="B10" s="71" t="s">
        <v>98</v>
      </c>
      <c r="C10" s="71" t="s">
        <v>128</v>
      </c>
      <c r="D10" s="71" t="s">
        <v>191</v>
      </c>
      <c r="E10" s="71" t="s">
        <v>198</v>
      </c>
      <c r="F10" s="71" t="s">
        <v>199</v>
      </c>
      <c r="G10" s="90" t="s">
        <v>93</v>
      </c>
      <c r="H10" s="71" t="s">
        <v>94</v>
      </c>
    </row>
    <row r="11" spans="1:13" ht="25" customHeight="1" x14ac:dyDescent="0.3">
      <c r="B11" s="43"/>
      <c r="C11" s="43"/>
      <c r="D11" s="64"/>
      <c r="E11" s="64"/>
      <c r="F11" s="73"/>
      <c r="G11" s="74"/>
      <c r="H11" s="24"/>
    </row>
    <row r="12" spans="1:13" ht="25" customHeight="1" x14ac:dyDescent="0.3">
      <c r="B12" s="47"/>
      <c r="C12" s="47"/>
      <c r="D12" s="64"/>
      <c r="E12" s="64"/>
      <c r="F12" s="64"/>
      <c r="G12" s="74"/>
      <c r="H12" s="24"/>
    </row>
    <row r="14" spans="1:13" ht="18" customHeight="1" x14ac:dyDescent="0.3">
      <c r="A14" s="75" t="s">
        <v>95</v>
      </c>
      <c r="C14" s="75"/>
    </row>
    <row r="15" spans="1:13" ht="18" customHeight="1" x14ac:dyDescent="0.3">
      <c r="A15" s="4" t="s">
        <v>96</v>
      </c>
    </row>
    <row r="16" spans="1:13" ht="18" customHeight="1" x14ac:dyDescent="0.3">
      <c r="A16" s="85" t="s">
        <v>200</v>
      </c>
      <c r="B16" s="4" t="s">
        <v>207</v>
      </c>
    </row>
    <row r="17" spans="1:8" ht="18" customHeight="1" x14ac:dyDescent="0.3">
      <c r="A17" s="85" t="s">
        <v>201</v>
      </c>
      <c r="B17" s="4" t="s">
        <v>208</v>
      </c>
    </row>
    <row r="19" spans="1:8" x14ac:dyDescent="0.3">
      <c r="A19" s="9" t="s">
        <v>202</v>
      </c>
      <c r="B19" s="9" t="s">
        <v>203</v>
      </c>
    </row>
    <row r="20" spans="1:8" ht="14.5" thickBot="1" x14ac:dyDescent="0.35"/>
    <row r="21" spans="1:8" x14ac:dyDescent="0.3">
      <c r="B21" s="76"/>
      <c r="C21" s="77"/>
      <c r="D21" s="77"/>
      <c r="E21" s="77"/>
      <c r="F21" s="77"/>
      <c r="G21" s="77"/>
      <c r="H21" s="78"/>
    </row>
    <row r="22" spans="1:8" ht="28" x14ac:dyDescent="0.3">
      <c r="B22" s="81" t="s">
        <v>129</v>
      </c>
      <c r="D22" s="37" t="s">
        <v>181</v>
      </c>
      <c r="E22" s="37" t="s">
        <v>130</v>
      </c>
      <c r="F22" s="82" t="s">
        <v>204</v>
      </c>
      <c r="H22" s="80"/>
    </row>
    <row r="23" spans="1:8" x14ac:dyDescent="0.3">
      <c r="B23" s="79"/>
      <c r="H23" s="80"/>
    </row>
    <row r="24" spans="1:8" x14ac:dyDescent="0.3">
      <c r="B24" s="91" t="s">
        <v>131</v>
      </c>
      <c r="C24" s="316" t="s">
        <v>132</v>
      </c>
      <c r="D24" s="83" t="s">
        <v>177</v>
      </c>
      <c r="E24" s="83" t="s">
        <v>178</v>
      </c>
      <c r="H24" s="80"/>
    </row>
    <row r="25" spans="1:8" x14ac:dyDescent="0.3">
      <c r="B25" s="92" t="s">
        <v>133</v>
      </c>
      <c r="C25" s="316"/>
      <c r="H25" s="80"/>
    </row>
    <row r="26" spans="1:8" x14ac:dyDescent="0.3">
      <c r="B26" s="79"/>
      <c r="H26" s="80"/>
    </row>
    <row r="27" spans="1:8" x14ac:dyDescent="0.3">
      <c r="B27" s="79"/>
      <c r="H27" s="80"/>
    </row>
    <row r="28" spans="1:8" x14ac:dyDescent="0.3">
      <c r="B28" s="84" t="s">
        <v>134</v>
      </c>
      <c r="C28" s="9" t="s">
        <v>135</v>
      </c>
      <c r="H28" s="80"/>
    </row>
    <row r="29" spans="1:8" x14ac:dyDescent="0.3">
      <c r="B29" s="79"/>
      <c r="H29" s="80"/>
    </row>
    <row r="30" spans="1:8" x14ac:dyDescent="0.3">
      <c r="B30" s="91" t="s">
        <v>136</v>
      </c>
      <c r="C30" s="317"/>
      <c r="D30" s="85" t="s">
        <v>179</v>
      </c>
      <c r="E30" s="85" t="s">
        <v>180</v>
      </c>
      <c r="H30" s="80"/>
    </row>
    <row r="31" spans="1:8" x14ac:dyDescent="0.3">
      <c r="B31" s="92" t="s">
        <v>137</v>
      </c>
      <c r="C31" s="317"/>
      <c r="H31" s="80"/>
    </row>
    <row r="32" spans="1:8" ht="14.5" thickBot="1" x14ac:dyDescent="0.35">
      <c r="B32" s="86"/>
      <c r="C32" s="87"/>
      <c r="D32" s="87"/>
      <c r="E32" s="87"/>
      <c r="F32" s="87"/>
      <c r="G32" s="87"/>
      <c r="H32" s="88"/>
    </row>
    <row r="34" spans="1:2" ht="18" customHeight="1" x14ac:dyDescent="0.3">
      <c r="A34" s="9" t="s">
        <v>138</v>
      </c>
    </row>
    <row r="35" spans="1:2" ht="18" customHeight="1" x14ac:dyDescent="0.3">
      <c r="A35" s="85" t="s">
        <v>200</v>
      </c>
      <c r="B35" s="4" t="s">
        <v>205</v>
      </c>
    </row>
    <row r="36" spans="1:2" ht="18" customHeight="1" x14ac:dyDescent="0.3">
      <c r="A36" s="85" t="s">
        <v>201</v>
      </c>
      <c r="B36" s="4" t="s">
        <v>206</v>
      </c>
    </row>
  </sheetData>
  <mergeCells count="2">
    <mergeCell ref="C24:C25"/>
    <mergeCell ref="C30:C31"/>
  </mergeCells>
  <pageMargins left="0.25" right="0.75" top="1" bottom="0.4" header="0.3" footer="0.3"/>
  <pageSetup paperSize="9" scale="7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6"/>
  <sheetViews>
    <sheetView view="pageBreakPreview" zoomScaleNormal="100" zoomScaleSheetLayoutView="100" workbookViewId="0">
      <selection activeCell="E13" sqref="E13"/>
    </sheetView>
  </sheetViews>
  <sheetFormatPr defaultColWidth="9.1796875" defaultRowHeight="14" x14ac:dyDescent="0.3"/>
  <cols>
    <col min="1" max="1" width="9.81640625" style="199" customWidth="1"/>
    <col min="2" max="2" width="18.81640625" style="199" customWidth="1"/>
    <col min="3" max="3" width="17" style="199" customWidth="1"/>
    <col min="4" max="4" width="18" style="222" customWidth="1"/>
    <col min="5" max="5" width="14.453125" style="222" customWidth="1"/>
    <col min="6" max="6" width="14.26953125" style="223" customWidth="1"/>
    <col min="7" max="7" width="15.7265625" style="199" customWidth="1"/>
    <col min="8" max="8" width="1.81640625" style="199" customWidth="1"/>
    <col min="9" max="9" width="12.453125" style="199" customWidth="1"/>
    <col min="10" max="10" width="18.54296875" style="199" bestFit="1" customWidth="1"/>
    <col min="11" max="11" width="13.26953125" style="199" bestFit="1" customWidth="1"/>
    <col min="12" max="16384" width="9.1796875" style="199"/>
  </cols>
  <sheetData>
    <row r="1" spans="1:11" ht="15" customHeight="1" x14ac:dyDescent="0.3">
      <c r="A1" s="224" t="s">
        <v>250</v>
      </c>
      <c r="B1" s="225"/>
      <c r="C1" s="225"/>
      <c r="D1" s="226" t="s">
        <v>210</v>
      </c>
      <c r="E1" s="227"/>
      <c r="F1" s="228"/>
      <c r="G1" s="320" t="s">
        <v>253</v>
      </c>
    </row>
    <row r="2" spans="1:11" ht="15" customHeight="1" x14ac:dyDescent="0.3">
      <c r="A2" s="229" t="s">
        <v>251</v>
      </c>
      <c r="B2" s="230"/>
      <c r="C2" s="230"/>
      <c r="D2" s="231"/>
      <c r="E2" s="231"/>
      <c r="F2" s="232"/>
      <c r="G2" s="321"/>
    </row>
    <row r="3" spans="1:11" ht="16.5" customHeight="1" thickBot="1" x14ac:dyDescent="0.35">
      <c r="A3" s="198" t="s">
        <v>252</v>
      </c>
      <c r="B3" s="233"/>
      <c r="C3" s="233"/>
      <c r="D3" s="234"/>
      <c r="E3" s="234"/>
      <c r="F3" s="235"/>
      <c r="G3" s="322"/>
    </row>
    <row r="4" spans="1:11" ht="16.5" customHeight="1" x14ac:dyDescent="0.3">
      <c r="A4" s="200"/>
      <c r="D4" s="201"/>
      <c r="E4" s="201"/>
      <c r="F4" s="202"/>
      <c r="G4" s="202"/>
    </row>
    <row r="5" spans="1:11" ht="16.5" customHeight="1" x14ac:dyDescent="0.3">
      <c r="A5" s="200"/>
      <c r="D5" s="201"/>
      <c r="E5" s="201"/>
      <c r="F5" s="202"/>
      <c r="G5" s="202"/>
    </row>
    <row r="6" spans="1:11" x14ac:dyDescent="0.3">
      <c r="A6" s="199" t="s">
        <v>92</v>
      </c>
      <c r="B6" s="203"/>
      <c r="D6" s="204" t="s">
        <v>158</v>
      </c>
      <c r="E6" s="199"/>
      <c r="F6" s="205"/>
      <c r="I6" s="206"/>
    </row>
    <row r="7" spans="1:11" x14ac:dyDescent="0.3">
      <c r="A7" s="199" t="s">
        <v>159</v>
      </c>
      <c r="B7" s="203"/>
      <c r="D7" s="207" t="s">
        <v>167</v>
      </c>
      <c r="E7" s="199"/>
      <c r="F7" s="205"/>
      <c r="I7" s="206"/>
    </row>
    <row r="8" spans="1:11" x14ac:dyDescent="0.3">
      <c r="A8" s="199" t="s">
        <v>160</v>
      </c>
      <c r="B8" s="203"/>
      <c r="D8" s="207" t="s">
        <v>168</v>
      </c>
      <c r="E8" s="199"/>
      <c r="F8" s="205"/>
      <c r="I8" s="206"/>
    </row>
    <row r="9" spans="1:11" x14ac:dyDescent="0.3">
      <c r="A9" s="199" t="s">
        <v>161</v>
      </c>
      <c r="B9" s="203"/>
      <c r="D9" s="208">
        <v>1560000</v>
      </c>
      <c r="E9" s="199"/>
      <c r="F9" s="205"/>
      <c r="I9" s="206"/>
      <c r="J9" s="205"/>
      <c r="K9" s="209"/>
    </row>
    <row r="10" spans="1:11" x14ac:dyDescent="0.3">
      <c r="A10" s="199" t="s">
        <v>162</v>
      </c>
      <c r="B10" s="203"/>
      <c r="D10" s="208">
        <v>59549.29</v>
      </c>
      <c r="E10" s="199"/>
      <c r="F10" s="205"/>
      <c r="I10" s="206"/>
      <c r="J10" s="205"/>
      <c r="K10" s="209"/>
    </row>
    <row r="11" spans="1:11" x14ac:dyDescent="0.3">
      <c r="A11" s="199" t="s">
        <v>169</v>
      </c>
      <c r="B11" s="203"/>
      <c r="D11" s="205">
        <v>3</v>
      </c>
      <c r="E11" s="199"/>
      <c r="F11" s="205"/>
      <c r="I11" s="206"/>
      <c r="J11" s="205"/>
      <c r="K11" s="209"/>
    </row>
    <row r="12" spans="1:11" x14ac:dyDescent="0.3">
      <c r="A12" s="199" t="s">
        <v>163</v>
      </c>
      <c r="B12" s="203"/>
      <c r="D12" s="210">
        <f>RATE(D11*12,-D10,D9,(0))*12</f>
        <v>0.21965527463484744</v>
      </c>
      <c r="E12" s="199" t="s">
        <v>190</v>
      </c>
      <c r="F12" s="205"/>
      <c r="I12" s="206"/>
      <c r="J12" s="205"/>
      <c r="K12" s="209"/>
    </row>
    <row r="13" spans="1:11" x14ac:dyDescent="0.3">
      <c r="A13" s="199" t="s">
        <v>157</v>
      </c>
      <c r="B13" s="203"/>
      <c r="D13" s="211">
        <f>D10*D11*12-D9</f>
        <v>583774.43999999994</v>
      </c>
      <c r="E13" s="199"/>
      <c r="F13" s="205"/>
      <c r="I13" s="206"/>
      <c r="J13" s="205"/>
      <c r="K13" s="209"/>
    </row>
    <row r="14" spans="1:11" ht="14.5" thickBot="1" x14ac:dyDescent="0.35">
      <c r="B14" s="203"/>
      <c r="D14" s="199"/>
      <c r="E14" s="199"/>
      <c r="F14" s="205"/>
      <c r="I14" s="206"/>
      <c r="J14" s="205"/>
      <c r="K14" s="209"/>
    </row>
    <row r="15" spans="1:11" s="212" customFormat="1" x14ac:dyDescent="0.3">
      <c r="A15" s="318" t="s">
        <v>211</v>
      </c>
      <c r="B15" s="323" t="s">
        <v>212</v>
      </c>
      <c r="C15" s="318" t="s">
        <v>213</v>
      </c>
      <c r="D15" s="318" t="s">
        <v>214</v>
      </c>
      <c r="E15" s="318" t="s">
        <v>215</v>
      </c>
      <c r="F15" s="318" t="s">
        <v>216</v>
      </c>
      <c r="G15" s="318" t="s">
        <v>217</v>
      </c>
      <c r="H15" s="199"/>
      <c r="I15" s="206"/>
      <c r="J15" s="199"/>
    </row>
    <row r="16" spans="1:11" ht="14.5" thickBot="1" x14ac:dyDescent="0.35">
      <c r="A16" s="319"/>
      <c r="B16" s="324"/>
      <c r="C16" s="319"/>
      <c r="D16" s="319"/>
      <c r="E16" s="319"/>
      <c r="F16" s="319"/>
      <c r="G16" s="319"/>
      <c r="I16" s="206"/>
    </row>
    <row r="17" spans="1:11" x14ac:dyDescent="0.3">
      <c r="B17" s="203"/>
      <c r="D17" s="199"/>
      <c r="E17" s="199"/>
      <c r="F17" s="205"/>
      <c r="I17" s="206"/>
      <c r="J17" s="209"/>
    </row>
    <row r="18" spans="1:11" x14ac:dyDescent="0.3">
      <c r="A18" s="205">
        <v>1</v>
      </c>
      <c r="B18" s="203">
        <f>D9</f>
        <v>1560000</v>
      </c>
      <c r="C18" s="209">
        <f>$D$10</f>
        <v>59549.29</v>
      </c>
      <c r="D18" s="209">
        <f>C18-E18</f>
        <v>30994.104297469832</v>
      </c>
      <c r="E18" s="209">
        <f>B18*$D$12/12</f>
        <v>28555.185702530169</v>
      </c>
      <c r="F18" s="213">
        <f>$D$12</f>
        <v>0.21965527463484744</v>
      </c>
      <c r="G18" s="209">
        <f>B18-D18</f>
        <v>1529005.8957025302</v>
      </c>
    </row>
    <row r="19" spans="1:11" x14ac:dyDescent="0.3">
      <c r="A19" s="205">
        <v>2</v>
      </c>
      <c r="B19" s="203">
        <f>G18</f>
        <v>1529005.8957025302</v>
      </c>
      <c r="C19" s="209">
        <f t="shared" ref="C19:C29" si="0">$D$10</f>
        <v>59549.29</v>
      </c>
      <c r="D19" s="209">
        <f>C19-E19</f>
        <v>31561.439171763319</v>
      </c>
      <c r="E19" s="209">
        <f t="shared" ref="E19:E29" si="1">B19*$D$12/12</f>
        <v>27987.850828236682</v>
      </c>
      <c r="F19" s="213">
        <f t="shared" ref="F19:F29" si="2">$D$12</f>
        <v>0.21965527463484744</v>
      </c>
      <c r="G19" s="209">
        <f t="shared" ref="G19:G59" si="3">B19-D19</f>
        <v>1497444.4565307668</v>
      </c>
      <c r="I19" s="206"/>
      <c r="K19" s="209"/>
    </row>
    <row r="20" spans="1:11" x14ac:dyDescent="0.3">
      <c r="A20" s="205">
        <v>3</v>
      </c>
      <c r="B20" s="203">
        <f t="shared" ref="B20:B59" si="4">G19</f>
        <v>1497444.4565307668</v>
      </c>
      <c r="C20" s="209">
        <f t="shared" si="0"/>
        <v>59549.29</v>
      </c>
      <c r="D20" s="209">
        <f t="shared" ref="D20:D59" si="5">C20-E20</f>
        <v>32139.158887525384</v>
      </c>
      <c r="E20" s="209">
        <f t="shared" si="1"/>
        <v>27410.131112474617</v>
      </c>
      <c r="F20" s="213">
        <f t="shared" si="2"/>
        <v>0.21965527463484744</v>
      </c>
      <c r="G20" s="209">
        <f t="shared" si="3"/>
        <v>1465305.2976432415</v>
      </c>
      <c r="I20" s="206"/>
      <c r="K20" s="214"/>
    </row>
    <row r="21" spans="1:11" x14ac:dyDescent="0.3">
      <c r="A21" s="205">
        <v>4</v>
      </c>
      <c r="B21" s="203">
        <f t="shared" si="4"/>
        <v>1465305.2976432415</v>
      </c>
      <c r="C21" s="209">
        <f t="shared" si="0"/>
        <v>59549.29</v>
      </c>
      <c r="D21" s="209">
        <f t="shared" si="5"/>
        <v>32727.453535189743</v>
      </c>
      <c r="E21" s="209">
        <f t="shared" si="1"/>
        <v>26821.836464810258</v>
      </c>
      <c r="F21" s="213">
        <f t="shared" si="2"/>
        <v>0.21965527463484744</v>
      </c>
      <c r="G21" s="209">
        <f t="shared" si="3"/>
        <v>1432577.8441080516</v>
      </c>
      <c r="I21" s="206"/>
    </row>
    <row r="22" spans="1:11" x14ac:dyDescent="0.3">
      <c r="A22" s="205">
        <v>5</v>
      </c>
      <c r="B22" s="203">
        <f t="shared" si="4"/>
        <v>1432577.8441080516</v>
      </c>
      <c r="C22" s="209">
        <f t="shared" si="0"/>
        <v>59549.29</v>
      </c>
      <c r="D22" s="209">
        <f t="shared" si="5"/>
        <v>33326.516684720686</v>
      </c>
      <c r="E22" s="209">
        <f t="shared" si="1"/>
        <v>26222.773315279312</v>
      </c>
      <c r="F22" s="213">
        <f t="shared" si="2"/>
        <v>0.21965527463484744</v>
      </c>
      <c r="G22" s="209">
        <f t="shared" si="3"/>
        <v>1399251.3274233309</v>
      </c>
      <c r="I22" s="215"/>
      <c r="J22" s="216"/>
    </row>
    <row r="23" spans="1:11" x14ac:dyDescent="0.3">
      <c r="A23" s="205">
        <v>6</v>
      </c>
      <c r="B23" s="203">
        <f t="shared" si="4"/>
        <v>1399251.3274233309</v>
      </c>
      <c r="C23" s="209">
        <f t="shared" si="0"/>
        <v>59549.29</v>
      </c>
      <c r="D23" s="209">
        <f t="shared" si="5"/>
        <v>33936.545449304453</v>
      </c>
      <c r="E23" s="209">
        <f t="shared" si="1"/>
        <v>25612.744550695545</v>
      </c>
      <c r="F23" s="213">
        <f t="shared" si="2"/>
        <v>0.21965527463484744</v>
      </c>
      <c r="G23" s="209">
        <f t="shared" si="3"/>
        <v>1365314.7819740265</v>
      </c>
      <c r="I23" s="215"/>
      <c r="J23" s="214"/>
    </row>
    <row r="24" spans="1:11" x14ac:dyDescent="0.3">
      <c r="A24" s="206" t="s">
        <v>170</v>
      </c>
      <c r="B24" s="217"/>
      <c r="C24" s="218">
        <f>SUM(C18:C23)</f>
        <v>357295.74</v>
      </c>
      <c r="D24" s="218">
        <f t="shared" ref="D24:E24" si="6">SUM(D18:D23)</f>
        <v>194685.21802597342</v>
      </c>
      <c r="E24" s="218">
        <f t="shared" si="6"/>
        <v>162610.5219740266</v>
      </c>
      <c r="F24" s="213"/>
      <c r="G24" s="209"/>
      <c r="I24" s="215"/>
      <c r="J24" s="214"/>
    </row>
    <row r="25" spans="1:11" x14ac:dyDescent="0.3">
      <c r="A25" s="205"/>
      <c r="B25" s="203"/>
      <c r="C25" s="209"/>
      <c r="D25" s="209"/>
      <c r="E25" s="209"/>
      <c r="F25" s="213"/>
      <c r="G25" s="209"/>
      <c r="I25" s="215"/>
      <c r="J25" s="214"/>
    </row>
    <row r="26" spans="1:11" x14ac:dyDescent="0.3">
      <c r="A26" s="205">
        <v>7</v>
      </c>
      <c r="B26" s="203">
        <f>G23</f>
        <v>1365314.7819740265</v>
      </c>
      <c r="C26" s="209">
        <f t="shared" si="0"/>
        <v>59549.29</v>
      </c>
      <c r="D26" s="209">
        <f t="shared" si="5"/>
        <v>34557.74055020653</v>
      </c>
      <c r="E26" s="209">
        <f t="shared" si="1"/>
        <v>24991.549449793471</v>
      </c>
      <c r="F26" s="213">
        <f t="shared" si="2"/>
        <v>0.21965527463484744</v>
      </c>
      <c r="G26" s="209">
        <f t="shared" si="3"/>
        <v>1330757.04142382</v>
      </c>
      <c r="I26" s="206"/>
    </row>
    <row r="27" spans="1:11" x14ac:dyDescent="0.3">
      <c r="A27" s="205">
        <v>8</v>
      </c>
      <c r="B27" s="203">
        <f t="shared" si="4"/>
        <v>1330757.04142382</v>
      </c>
      <c r="C27" s="209">
        <f t="shared" si="0"/>
        <v>59549.29</v>
      </c>
      <c r="D27" s="209">
        <f t="shared" si="5"/>
        <v>35190.306382816154</v>
      </c>
      <c r="E27" s="209">
        <f t="shared" si="1"/>
        <v>24358.983617183851</v>
      </c>
      <c r="F27" s="213">
        <f t="shared" si="2"/>
        <v>0.21965527463484744</v>
      </c>
      <c r="G27" s="209">
        <f t="shared" si="3"/>
        <v>1295566.7350410039</v>
      </c>
      <c r="I27" s="219"/>
    </row>
    <row r="28" spans="1:11" x14ac:dyDescent="0.3">
      <c r="A28" s="205">
        <v>9</v>
      </c>
      <c r="B28" s="203">
        <f>G27</f>
        <v>1295566.7350410039</v>
      </c>
      <c r="C28" s="209">
        <f t="shared" si="0"/>
        <v>59549.29</v>
      </c>
      <c r="D28" s="209">
        <f t="shared" si="5"/>
        <v>35834.451083899636</v>
      </c>
      <c r="E28" s="209">
        <f t="shared" si="1"/>
        <v>23714.838916100362</v>
      </c>
      <c r="F28" s="213">
        <f t="shared" si="2"/>
        <v>0.21965527463484744</v>
      </c>
      <c r="G28" s="209">
        <f t="shared" si="3"/>
        <v>1259732.2839571042</v>
      </c>
      <c r="I28" s="206"/>
    </row>
    <row r="29" spans="1:11" x14ac:dyDescent="0.3">
      <c r="A29" s="205">
        <v>10</v>
      </c>
      <c r="B29" s="203">
        <f>G28</f>
        <v>1259732.2839571042</v>
      </c>
      <c r="C29" s="209">
        <f t="shared" si="0"/>
        <v>59549.29</v>
      </c>
      <c r="D29" s="209">
        <f t="shared" si="5"/>
        <v>36490.386600084894</v>
      </c>
      <c r="E29" s="209">
        <f t="shared" si="1"/>
        <v>23058.903399915111</v>
      </c>
      <c r="F29" s="213">
        <f t="shared" si="2"/>
        <v>0.21965527463484744</v>
      </c>
      <c r="G29" s="209">
        <f t="shared" si="3"/>
        <v>1223241.8973570194</v>
      </c>
      <c r="I29" s="206"/>
    </row>
    <row r="30" spans="1:11" x14ac:dyDescent="0.3">
      <c r="A30" s="205">
        <v>11</v>
      </c>
      <c r="B30" s="203">
        <f>G29</f>
        <v>1223241.8973570194</v>
      </c>
      <c r="C30" s="209">
        <f>$D$10</f>
        <v>59549.29</v>
      </c>
      <c r="D30" s="209">
        <f t="shared" si="5"/>
        <v>37158.328757599338</v>
      </c>
      <c r="E30" s="209">
        <f>B30*$D$12/12</f>
        <v>22390.961242400663</v>
      </c>
      <c r="F30" s="213">
        <f>$D$12</f>
        <v>0.21965527463484744</v>
      </c>
      <c r="G30" s="209">
        <f t="shared" si="3"/>
        <v>1186083.5685994201</v>
      </c>
      <c r="J30" s="216"/>
    </row>
    <row r="31" spans="1:11" x14ac:dyDescent="0.3">
      <c r="A31" s="205">
        <v>12</v>
      </c>
      <c r="B31" s="203">
        <f t="shared" si="4"/>
        <v>1186083.5685994201</v>
      </c>
      <c r="C31" s="209">
        <f t="shared" ref="C31:C43" si="7">$D$10</f>
        <v>59549.29</v>
      </c>
      <c r="D31" s="209">
        <f t="shared" si="5"/>
        <v>37838.49733328454</v>
      </c>
      <c r="E31" s="209">
        <f t="shared" ref="E31:E43" si="8">B31*$D$12/12</f>
        <v>21710.792666715461</v>
      </c>
      <c r="F31" s="213">
        <f t="shared" ref="F31:F43" si="9">$D$12</f>
        <v>0.21965527463484744</v>
      </c>
      <c r="G31" s="209">
        <f t="shared" si="3"/>
        <v>1148245.0712661357</v>
      </c>
      <c r="I31" s="206"/>
      <c r="J31" s="216"/>
    </row>
    <row r="32" spans="1:11" x14ac:dyDescent="0.3">
      <c r="A32" s="205">
        <v>13</v>
      </c>
      <c r="B32" s="203">
        <f t="shared" si="4"/>
        <v>1148245.0712661357</v>
      </c>
      <c r="C32" s="209">
        <f t="shared" si="7"/>
        <v>59549.29</v>
      </c>
      <c r="D32" s="209">
        <f t="shared" si="5"/>
        <v>38531.11612691058</v>
      </c>
      <c r="E32" s="209">
        <f t="shared" si="8"/>
        <v>21018.173873089418</v>
      </c>
      <c r="F32" s="213">
        <f t="shared" si="9"/>
        <v>0.21965527463484744</v>
      </c>
      <c r="G32" s="209">
        <f t="shared" si="3"/>
        <v>1109713.9551392251</v>
      </c>
      <c r="I32" s="206"/>
      <c r="J32" s="216"/>
    </row>
    <row r="33" spans="1:10" x14ac:dyDescent="0.3">
      <c r="A33" s="205">
        <v>14</v>
      </c>
      <c r="B33" s="203">
        <f t="shared" si="4"/>
        <v>1109713.9551392251</v>
      </c>
      <c r="C33" s="209">
        <f t="shared" si="7"/>
        <v>59549.29</v>
      </c>
      <c r="D33" s="209">
        <f t="shared" si="5"/>
        <v>39236.413034814228</v>
      </c>
      <c r="E33" s="209">
        <f t="shared" si="8"/>
        <v>20312.876965185773</v>
      </c>
      <c r="F33" s="213">
        <f t="shared" si="9"/>
        <v>0.21965527463484744</v>
      </c>
      <c r="G33" s="209">
        <f t="shared" si="3"/>
        <v>1070477.5421044109</v>
      </c>
      <c r="I33" s="206"/>
      <c r="J33" s="216"/>
    </row>
    <row r="34" spans="1:10" x14ac:dyDescent="0.3">
      <c r="A34" s="205">
        <v>15</v>
      </c>
      <c r="B34" s="203">
        <f t="shared" si="4"/>
        <v>1070477.5421044109</v>
      </c>
      <c r="C34" s="209">
        <f t="shared" si="7"/>
        <v>59549.29</v>
      </c>
      <c r="D34" s="209">
        <f t="shared" si="5"/>
        <v>39954.620124884925</v>
      </c>
      <c r="E34" s="209">
        <f t="shared" si="8"/>
        <v>19594.669875115073</v>
      </c>
      <c r="F34" s="213">
        <f t="shared" si="9"/>
        <v>0.21965527463484744</v>
      </c>
      <c r="G34" s="209">
        <f t="shared" si="3"/>
        <v>1030522.9219795261</v>
      </c>
      <c r="I34" s="206"/>
      <c r="J34" s="216"/>
    </row>
    <row r="35" spans="1:10" x14ac:dyDescent="0.3">
      <c r="A35" s="205">
        <v>16</v>
      </c>
      <c r="B35" s="203">
        <f t="shared" si="4"/>
        <v>1030522.9219795261</v>
      </c>
      <c r="C35" s="209">
        <f t="shared" si="7"/>
        <v>59549.29</v>
      </c>
      <c r="D35" s="209">
        <f t="shared" si="5"/>
        <v>40685.973712923485</v>
      </c>
      <c r="E35" s="209">
        <f t="shared" si="8"/>
        <v>18863.316287076519</v>
      </c>
      <c r="F35" s="213">
        <f t="shared" si="9"/>
        <v>0.21965527463484744</v>
      </c>
      <c r="G35" s="209">
        <f t="shared" si="3"/>
        <v>989836.94826660259</v>
      </c>
      <c r="I35" s="215"/>
      <c r="J35" s="216"/>
    </row>
    <row r="36" spans="1:10" x14ac:dyDescent="0.3">
      <c r="A36" s="205">
        <v>17</v>
      </c>
      <c r="B36" s="203">
        <f t="shared" si="4"/>
        <v>989836.94826660259</v>
      </c>
      <c r="C36" s="209">
        <f t="shared" si="7"/>
        <v>59549.29</v>
      </c>
      <c r="D36" s="209">
        <f t="shared" si="5"/>
        <v>41430.71444039834</v>
      </c>
      <c r="E36" s="209">
        <f t="shared" si="8"/>
        <v>18118.575559601657</v>
      </c>
      <c r="F36" s="213">
        <f t="shared" si="9"/>
        <v>0.21965527463484744</v>
      </c>
      <c r="G36" s="209">
        <f t="shared" si="3"/>
        <v>948406.2338262042</v>
      </c>
      <c r="H36" s="200" t="s">
        <v>164</v>
      </c>
      <c r="I36" s="215"/>
      <c r="J36" s="216"/>
    </row>
    <row r="37" spans="1:10" x14ac:dyDescent="0.3">
      <c r="A37" s="206" t="s">
        <v>171</v>
      </c>
      <c r="B37" s="217"/>
      <c r="C37" s="218">
        <f>SUM(C26:C36)</f>
        <v>655042.19000000006</v>
      </c>
      <c r="D37" s="218">
        <f t="shared" ref="D37:E37" si="10">SUM(D26:D36)</f>
        <v>416908.54814782261</v>
      </c>
      <c r="E37" s="218">
        <f t="shared" si="10"/>
        <v>238133.64185217736</v>
      </c>
      <c r="F37" s="213"/>
      <c r="G37" s="209"/>
      <c r="I37" s="215"/>
      <c r="J37" s="216"/>
    </row>
    <row r="38" spans="1:10" x14ac:dyDescent="0.3">
      <c r="A38" s="205"/>
      <c r="B38" s="203"/>
      <c r="C38" s="209"/>
      <c r="D38" s="209"/>
      <c r="E38" s="209"/>
      <c r="F38" s="213"/>
      <c r="G38" s="209"/>
      <c r="I38" s="215"/>
      <c r="J38" s="216"/>
    </row>
    <row r="39" spans="1:10" x14ac:dyDescent="0.3">
      <c r="A39" s="205">
        <v>18</v>
      </c>
      <c r="B39" s="203">
        <f>G36</f>
        <v>948406.2338262042</v>
      </c>
      <c r="C39" s="209">
        <f t="shared" si="7"/>
        <v>59549.29</v>
      </c>
      <c r="D39" s="209">
        <f t="shared" si="5"/>
        <v>42189.08735362532</v>
      </c>
      <c r="E39" s="209">
        <f t="shared" si="8"/>
        <v>17360.202646374684</v>
      </c>
      <c r="F39" s="213">
        <f t="shared" si="9"/>
        <v>0.21965527463484744</v>
      </c>
      <c r="G39" s="209">
        <f t="shared" si="3"/>
        <v>906217.14647257887</v>
      </c>
      <c r="I39" s="206"/>
      <c r="J39" s="214"/>
    </row>
    <row r="40" spans="1:10" x14ac:dyDescent="0.3">
      <c r="A40" s="205">
        <v>19</v>
      </c>
      <c r="B40" s="203">
        <f t="shared" si="4"/>
        <v>906217.14647257887</v>
      </c>
      <c r="C40" s="209">
        <f t="shared" si="7"/>
        <v>59549.29</v>
      </c>
      <c r="D40" s="209">
        <f t="shared" si="5"/>
        <v>42961.341984396495</v>
      </c>
      <c r="E40" s="209">
        <f t="shared" si="8"/>
        <v>16587.948015603506</v>
      </c>
      <c r="F40" s="213">
        <f t="shared" si="9"/>
        <v>0.21965527463484744</v>
      </c>
      <c r="G40" s="209">
        <f t="shared" si="3"/>
        <v>863255.80448818242</v>
      </c>
      <c r="I40" s="206"/>
    </row>
    <row r="41" spans="1:10" x14ac:dyDescent="0.3">
      <c r="A41" s="205">
        <v>20</v>
      </c>
      <c r="B41" s="203">
        <f t="shared" si="4"/>
        <v>863255.80448818242</v>
      </c>
      <c r="C41" s="209">
        <f t="shared" si="7"/>
        <v>59549.29</v>
      </c>
      <c r="D41" s="209">
        <f t="shared" si="5"/>
        <v>43747.732432085177</v>
      </c>
      <c r="E41" s="209">
        <f t="shared" si="8"/>
        <v>15801.557567914822</v>
      </c>
      <c r="F41" s="213">
        <f t="shared" si="9"/>
        <v>0.21965527463484744</v>
      </c>
      <c r="G41" s="209">
        <f t="shared" si="3"/>
        <v>819508.07205609721</v>
      </c>
      <c r="I41" s="206"/>
      <c r="J41" s="214"/>
    </row>
    <row r="42" spans="1:10" x14ac:dyDescent="0.3">
      <c r="A42" s="205">
        <v>21</v>
      </c>
      <c r="B42" s="203">
        <f>G41</f>
        <v>819508.07205609721</v>
      </c>
      <c r="C42" s="209">
        <f t="shared" si="7"/>
        <v>59549.29</v>
      </c>
      <c r="D42" s="209">
        <f t="shared" si="5"/>
        <v>44548.517447253638</v>
      </c>
      <c r="E42" s="209">
        <f t="shared" si="8"/>
        <v>15000.772552746364</v>
      </c>
      <c r="F42" s="213">
        <f t="shared" si="9"/>
        <v>0.21965527463484744</v>
      </c>
      <c r="G42" s="209">
        <f t="shared" si="3"/>
        <v>774959.55460884352</v>
      </c>
      <c r="I42" s="206"/>
    </row>
    <row r="43" spans="1:10" x14ac:dyDescent="0.3">
      <c r="A43" s="205">
        <v>22</v>
      </c>
      <c r="B43" s="203">
        <f>G42</f>
        <v>774959.55460884352</v>
      </c>
      <c r="C43" s="209">
        <f t="shared" si="7"/>
        <v>59549.29</v>
      </c>
      <c r="D43" s="209">
        <f t="shared" si="5"/>
        <v>45363.960516791289</v>
      </c>
      <c r="E43" s="209">
        <f t="shared" si="8"/>
        <v>14185.329483208714</v>
      </c>
      <c r="F43" s="213">
        <f t="shared" si="9"/>
        <v>0.21965527463484744</v>
      </c>
      <c r="G43" s="209">
        <f t="shared" si="3"/>
        <v>729595.5940920522</v>
      </c>
      <c r="I43" s="206"/>
    </row>
    <row r="44" spans="1:10" x14ac:dyDescent="0.3">
      <c r="A44" s="205">
        <v>23</v>
      </c>
      <c r="B44" s="203">
        <f>G43</f>
        <v>729595.5940920522</v>
      </c>
      <c r="C44" s="209">
        <f>$D$10</f>
        <v>59549.29</v>
      </c>
      <c r="D44" s="209">
        <f t="shared" si="5"/>
        <v>46194.329950611304</v>
      </c>
      <c r="E44" s="209">
        <f>B44*$D$12/12</f>
        <v>13354.960049388699</v>
      </c>
      <c r="F44" s="213">
        <f>$D$12</f>
        <v>0.21965527463484744</v>
      </c>
      <c r="G44" s="209">
        <f t="shared" si="3"/>
        <v>683401.26414144086</v>
      </c>
      <c r="I44" s="206"/>
    </row>
    <row r="45" spans="1:10" x14ac:dyDescent="0.3">
      <c r="A45" s="205">
        <v>24</v>
      </c>
      <c r="B45" s="203">
        <f t="shared" si="4"/>
        <v>683401.26414144086</v>
      </c>
      <c r="C45" s="209">
        <f t="shared" ref="C45:C57" si="11">$D$10</f>
        <v>59549.29</v>
      </c>
      <c r="D45" s="209">
        <f t="shared" si="5"/>
        <v>47039.898969934162</v>
      </c>
      <c r="E45" s="209">
        <f t="shared" ref="E45:E57" si="12">B45*$D$12/12</f>
        <v>12509.391030065841</v>
      </c>
      <c r="F45" s="213">
        <f t="shared" ref="F45:F57" si="13">$D$12</f>
        <v>0.21965527463484744</v>
      </c>
      <c r="G45" s="209">
        <f t="shared" si="3"/>
        <v>636361.36517150665</v>
      </c>
      <c r="I45" s="206"/>
    </row>
    <row r="46" spans="1:10" x14ac:dyDescent="0.3">
      <c r="A46" s="205">
        <v>25</v>
      </c>
      <c r="B46" s="203">
        <f t="shared" si="4"/>
        <v>636361.36517150665</v>
      </c>
      <c r="C46" s="209">
        <f t="shared" si="11"/>
        <v>59549.29</v>
      </c>
      <c r="D46" s="209">
        <f t="shared" si="5"/>
        <v>47900.945797187189</v>
      </c>
      <c r="E46" s="209">
        <f t="shared" si="12"/>
        <v>11648.344202812812</v>
      </c>
      <c r="F46" s="213">
        <f t="shared" si="13"/>
        <v>0.21965527463484744</v>
      </c>
      <c r="G46" s="209">
        <f t="shared" si="3"/>
        <v>588460.41937431949</v>
      </c>
      <c r="I46" s="206"/>
    </row>
    <row r="47" spans="1:10" x14ac:dyDescent="0.3">
      <c r="A47" s="205">
        <v>26</v>
      </c>
      <c r="B47" s="203">
        <f t="shared" si="4"/>
        <v>588460.41937431949</v>
      </c>
      <c r="C47" s="209">
        <f t="shared" si="11"/>
        <v>59549.29</v>
      </c>
      <c r="D47" s="209">
        <f t="shared" si="5"/>
        <v>48777.753747549694</v>
      </c>
      <c r="E47" s="209">
        <f t="shared" si="12"/>
        <v>10771.536252450303</v>
      </c>
      <c r="F47" s="213">
        <f t="shared" si="13"/>
        <v>0.21965527463484744</v>
      </c>
      <c r="G47" s="209">
        <f t="shared" si="3"/>
        <v>539682.66562676977</v>
      </c>
      <c r="I47" s="206"/>
    </row>
    <row r="48" spans="1:10" x14ac:dyDescent="0.3">
      <c r="A48" s="205">
        <v>27</v>
      </c>
      <c r="B48" s="203">
        <f t="shared" si="4"/>
        <v>539682.66562676977</v>
      </c>
      <c r="C48" s="209">
        <f t="shared" si="11"/>
        <v>59549.29</v>
      </c>
      <c r="D48" s="209">
        <f t="shared" si="5"/>
        <v>49670.611322173776</v>
      </c>
      <c r="E48" s="209">
        <f t="shared" si="12"/>
        <v>9878.6786778262212</v>
      </c>
      <c r="F48" s="213">
        <f t="shared" si="13"/>
        <v>0.21965527463484744</v>
      </c>
      <c r="G48" s="209">
        <f t="shared" si="3"/>
        <v>490012.05430459598</v>
      </c>
      <c r="I48" s="206"/>
    </row>
    <row r="49" spans="1:9" x14ac:dyDescent="0.3">
      <c r="A49" s="205">
        <v>28</v>
      </c>
      <c r="B49" s="203">
        <f t="shared" si="4"/>
        <v>490012.05430459598</v>
      </c>
      <c r="C49" s="209">
        <f t="shared" si="11"/>
        <v>59549.29</v>
      </c>
      <c r="D49" s="209">
        <f t="shared" si="5"/>
        <v>50579.812303111517</v>
      </c>
      <c r="E49" s="209">
        <f t="shared" si="12"/>
        <v>8969.4776968884835</v>
      </c>
      <c r="F49" s="213">
        <f t="shared" si="13"/>
        <v>0.21965527463484744</v>
      </c>
      <c r="G49" s="209">
        <f t="shared" si="3"/>
        <v>439432.24200148444</v>
      </c>
      <c r="I49" s="215"/>
    </row>
    <row r="50" spans="1:9" x14ac:dyDescent="0.3">
      <c r="A50" s="205">
        <v>29</v>
      </c>
      <c r="B50" s="203">
        <f t="shared" si="4"/>
        <v>439432.24200148444</v>
      </c>
      <c r="C50" s="209">
        <f t="shared" si="11"/>
        <v>59549.29</v>
      </c>
      <c r="D50" s="209">
        <f t="shared" si="5"/>
        <v>51505.655849979768</v>
      </c>
      <c r="E50" s="209">
        <f t="shared" si="12"/>
        <v>8043.6341500202334</v>
      </c>
      <c r="F50" s="213">
        <f t="shared" si="13"/>
        <v>0.21965527463484744</v>
      </c>
      <c r="G50" s="209">
        <f t="shared" si="3"/>
        <v>387926.58615150466</v>
      </c>
      <c r="I50" s="215"/>
    </row>
    <row r="51" spans="1:9" x14ac:dyDescent="0.3">
      <c r="A51" s="205">
        <v>30</v>
      </c>
      <c r="B51" s="203">
        <f t="shared" si="4"/>
        <v>387926.58615150466</v>
      </c>
      <c r="C51" s="209">
        <f t="shared" si="11"/>
        <v>59549.29</v>
      </c>
      <c r="D51" s="209">
        <f t="shared" si="5"/>
        <v>52448.446598394374</v>
      </c>
      <c r="E51" s="209">
        <f t="shared" si="12"/>
        <v>7100.8434016056299</v>
      </c>
      <c r="F51" s="213">
        <f t="shared" si="13"/>
        <v>0.21965527463484744</v>
      </c>
      <c r="G51" s="209">
        <f t="shared" si="3"/>
        <v>335478.13955311029</v>
      </c>
      <c r="H51" s="200" t="s">
        <v>165</v>
      </c>
      <c r="I51" s="206"/>
    </row>
    <row r="52" spans="1:9" x14ac:dyDescent="0.3">
      <c r="A52" s="206" t="s">
        <v>172</v>
      </c>
      <c r="B52" s="217"/>
      <c r="C52" s="218">
        <f>SUM(C39:C51)</f>
        <v>774140.77000000014</v>
      </c>
      <c r="D52" s="218">
        <f t="shared" ref="D52:E52" si="14">SUM(D39:D51)</f>
        <v>612928.09427309386</v>
      </c>
      <c r="E52" s="218">
        <f t="shared" si="14"/>
        <v>161212.67572690634</v>
      </c>
      <c r="F52" s="213"/>
      <c r="G52" s="209"/>
      <c r="I52" s="206"/>
    </row>
    <row r="53" spans="1:9" x14ac:dyDescent="0.3">
      <c r="A53" s="205"/>
      <c r="B53" s="203"/>
      <c r="C53" s="209"/>
      <c r="D53" s="209"/>
      <c r="E53" s="209"/>
      <c r="F53" s="213"/>
      <c r="G53" s="209"/>
      <c r="I53" s="206"/>
    </row>
    <row r="54" spans="1:9" x14ac:dyDescent="0.3">
      <c r="A54" s="205">
        <v>31</v>
      </c>
      <c r="B54" s="203">
        <f>G51</f>
        <v>335478.13955311029</v>
      </c>
      <c r="C54" s="209">
        <f t="shared" si="11"/>
        <v>59549.29</v>
      </c>
      <c r="D54" s="209">
        <f t="shared" si="5"/>
        <v>53408.494760206158</v>
      </c>
      <c r="E54" s="209">
        <f t="shared" si="12"/>
        <v>6140.7952397938425</v>
      </c>
      <c r="F54" s="213">
        <f t="shared" si="13"/>
        <v>0.21965527463484744</v>
      </c>
      <c r="G54" s="209">
        <f t="shared" si="3"/>
        <v>282069.64479290415</v>
      </c>
    </row>
    <row r="55" spans="1:9" x14ac:dyDescent="0.3">
      <c r="A55" s="205">
        <v>32</v>
      </c>
      <c r="B55" s="203">
        <f t="shared" si="4"/>
        <v>282069.64479290415</v>
      </c>
      <c r="C55" s="209">
        <f t="shared" si="11"/>
        <v>59549.29</v>
      </c>
      <c r="D55" s="209">
        <f t="shared" si="5"/>
        <v>54386.116225571735</v>
      </c>
      <c r="E55" s="209">
        <f t="shared" si="12"/>
        <v>5163.1737744282682</v>
      </c>
      <c r="F55" s="213">
        <f t="shared" si="13"/>
        <v>0.21965527463484744</v>
      </c>
      <c r="G55" s="209">
        <f t="shared" si="3"/>
        <v>227683.52856733243</v>
      </c>
      <c r="I55" s="206"/>
    </row>
    <row r="56" spans="1:9" x14ac:dyDescent="0.3">
      <c r="A56" s="205">
        <v>33</v>
      </c>
      <c r="B56" s="203">
        <f>G55</f>
        <v>227683.52856733243</v>
      </c>
      <c r="C56" s="209">
        <f t="shared" si="11"/>
        <v>59549.29</v>
      </c>
      <c r="D56" s="209">
        <f t="shared" si="5"/>
        <v>55381.632666892619</v>
      </c>
      <c r="E56" s="209">
        <f t="shared" si="12"/>
        <v>4167.6573331073778</v>
      </c>
      <c r="F56" s="213">
        <f t="shared" si="13"/>
        <v>0.21965527463484744</v>
      </c>
      <c r="G56" s="209">
        <f t="shared" si="3"/>
        <v>172301.89590043982</v>
      </c>
      <c r="I56" s="206"/>
    </row>
    <row r="57" spans="1:9" x14ac:dyDescent="0.3">
      <c r="A57" s="205">
        <v>34</v>
      </c>
      <c r="B57" s="203">
        <f>G56</f>
        <v>172301.89590043982</v>
      </c>
      <c r="C57" s="209">
        <f t="shared" si="11"/>
        <v>59549.29</v>
      </c>
      <c r="D57" s="209">
        <f t="shared" si="5"/>
        <v>56395.371644657003</v>
      </c>
      <c r="E57" s="209">
        <f t="shared" si="12"/>
        <v>3153.9183553429998</v>
      </c>
      <c r="F57" s="213">
        <f t="shared" si="13"/>
        <v>0.21965527463484744</v>
      </c>
      <c r="G57" s="209">
        <f t="shared" si="3"/>
        <v>115906.52425578282</v>
      </c>
      <c r="I57" s="206"/>
    </row>
    <row r="58" spans="1:9" x14ac:dyDescent="0.3">
      <c r="A58" s="205">
        <v>35</v>
      </c>
      <c r="B58" s="203">
        <f>G57</f>
        <v>115906.52425578282</v>
      </c>
      <c r="C58" s="209">
        <f>$D$10</f>
        <v>59549.29</v>
      </c>
      <c r="D58" s="209">
        <f t="shared" si="5"/>
        <v>57427.666715218787</v>
      </c>
      <c r="E58" s="209">
        <f>B58*$D$12/12</f>
        <v>2121.6232847812148</v>
      </c>
      <c r="F58" s="213">
        <f>$D$12</f>
        <v>0.21965527463484744</v>
      </c>
      <c r="G58" s="209">
        <f t="shared" si="3"/>
        <v>58478.857540564029</v>
      </c>
      <c r="I58" s="206"/>
    </row>
    <row r="59" spans="1:9" x14ac:dyDescent="0.3">
      <c r="A59" s="205">
        <v>36</v>
      </c>
      <c r="B59" s="203">
        <f t="shared" si="4"/>
        <v>58478.857540564029</v>
      </c>
      <c r="C59" s="209">
        <f t="shared" ref="C59" si="15">$D$10</f>
        <v>59549.29</v>
      </c>
      <c r="D59" s="209">
        <f t="shared" si="5"/>
        <v>58478.857540549609</v>
      </c>
      <c r="E59" s="209">
        <f t="shared" ref="E59" si="16">B59*$D$12/12</f>
        <v>1070.4324594503926</v>
      </c>
      <c r="F59" s="213">
        <f t="shared" ref="F59" si="17">$D$12</f>
        <v>0.21965527463484744</v>
      </c>
      <c r="G59" s="209">
        <f t="shared" si="3"/>
        <v>1.442094799131155E-8</v>
      </c>
      <c r="I59" s="206"/>
    </row>
    <row r="60" spans="1:9" x14ac:dyDescent="0.3">
      <c r="A60" s="206" t="s">
        <v>173</v>
      </c>
      <c r="B60" s="217"/>
      <c r="C60" s="218">
        <f>SUM(C54:C59)</f>
        <v>357295.74</v>
      </c>
      <c r="D60" s="218">
        <f t="shared" ref="D60:E60" si="18">SUM(D54:D59)</f>
        <v>335478.13955309591</v>
      </c>
      <c r="E60" s="218">
        <f t="shared" si="18"/>
        <v>21817.600446904096</v>
      </c>
      <c r="F60" s="213"/>
      <c r="G60" s="209"/>
      <c r="I60" s="206"/>
    </row>
    <row r="61" spans="1:9" x14ac:dyDescent="0.3">
      <c r="A61" s="205"/>
      <c r="B61" s="203"/>
      <c r="C61" s="209"/>
      <c r="D61" s="209"/>
      <c r="E61" s="209"/>
      <c r="F61" s="213"/>
      <c r="G61" s="209"/>
      <c r="I61" s="220"/>
    </row>
    <row r="62" spans="1:9" ht="14.5" thickBot="1" x14ac:dyDescent="0.35">
      <c r="A62" s="206" t="s">
        <v>166</v>
      </c>
      <c r="B62" s="203"/>
      <c r="C62" s="221">
        <f>SUM(C24+C37+C52+C60)</f>
        <v>2143774.4400000004</v>
      </c>
      <c r="D62" s="221">
        <f t="shared" ref="D62:E62" si="19">SUM(D24+D37+D52+D60)</f>
        <v>1559999.9999999858</v>
      </c>
      <c r="E62" s="221">
        <f t="shared" si="19"/>
        <v>583774.44000001438</v>
      </c>
      <c r="F62" s="205"/>
    </row>
    <row r="63" spans="1:9" ht="14.5" thickTop="1" x14ac:dyDescent="0.3">
      <c r="A63" s="205"/>
      <c r="B63" s="203"/>
      <c r="D63" s="199"/>
      <c r="E63" s="199"/>
      <c r="F63" s="205"/>
    </row>
    <row r="64" spans="1:9" x14ac:dyDescent="0.3">
      <c r="A64" s="205"/>
      <c r="B64" s="203"/>
      <c r="D64" s="199"/>
      <c r="E64" s="199"/>
      <c r="F64" s="205"/>
    </row>
    <row r="65" spans="1:6" x14ac:dyDescent="0.3">
      <c r="A65" s="205"/>
      <c r="D65" s="214"/>
      <c r="E65" s="199"/>
      <c r="F65" s="205"/>
    </row>
    <row r="66" spans="1:6" x14ac:dyDescent="0.3">
      <c r="A66" s="205"/>
      <c r="D66" s="199"/>
      <c r="E66" s="199"/>
      <c r="F66" s="205"/>
    </row>
    <row r="67" spans="1:6" x14ac:dyDescent="0.3">
      <c r="A67" s="205"/>
      <c r="D67" s="199"/>
      <c r="E67" s="199"/>
      <c r="F67" s="205"/>
    </row>
    <row r="68" spans="1:6" x14ac:dyDescent="0.3">
      <c r="A68" s="205"/>
    </row>
    <row r="69" spans="1:6" x14ac:dyDescent="0.3">
      <c r="A69" s="205"/>
    </row>
    <row r="70" spans="1:6" x14ac:dyDescent="0.3">
      <c r="A70" s="205"/>
    </row>
    <row r="71" spans="1:6" x14ac:dyDescent="0.3">
      <c r="A71" s="205"/>
    </row>
    <row r="72" spans="1:6" x14ac:dyDescent="0.3">
      <c r="A72" s="205"/>
    </row>
    <row r="73" spans="1:6" x14ac:dyDescent="0.3">
      <c r="A73" s="205"/>
    </row>
    <row r="74" spans="1:6" x14ac:dyDescent="0.3">
      <c r="A74" s="205"/>
    </row>
    <row r="75" spans="1:6" x14ac:dyDescent="0.3">
      <c r="A75" s="205"/>
    </row>
    <row r="76" spans="1:6" x14ac:dyDescent="0.3">
      <c r="A76" s="205"/>
    </row>
  </sheetData>
  <mergeCells count="8">
    <mergeCell ref="G15:G16"/>
    <mergeCell ref="G1:G3"/>
    <mergeCell ref="A15:A16"/>
    <mergeCell ref="B15:B16"/>
    <mergeCell ref="C15:C16"/>
    <mergeCell ref="D15:D16"/>
    <mergeCell ref="E15:E16"/>
    <mergeCell ref="F15:F16"/>
  </mergeCells>
  <pageMargins left="0.5" right="0.3" top="0.5" bottom="0.5" header="0" footer="0"/>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65"/>
  <sheetViews>
    <sheetView topLeftCell="A4" workbookViewId="0">
      <selection activeCell="E14" sqref="E14"/>
    </sheetView>
  </sheetViews>
  <sheetFormatPr defaultColWidth="9.1796875" defaultRowHeight="14" x14ac:dyDescent="0.3"/>
  <cols>
    <col min="1" max="1" width="5.1796875" style="154" customWidth="1"/>
    <col min="2" max="2" width="27.7265625" style="154" customWidth="1"/>
    <col min="3" max="3" width="17" style="154" customWidth="1"/>
    <col min="4" max="4" width="17.453125" style="154" customWidth="1"/>
    <col min="5" max="5" width="16.26953125" style="154" customWidth="1"/>
    <col min="6" max="6" width="15.26953125" style="154" customWidth="1"/>
    <col min="7" max="7" width="11.7265625" style="154" customWidth="1"/>
    <col min="8" max="8" width="15.54296875" style="154" customWidth="1"/>
    <col min="9" max="9" width="19" style="154" customWidth="1"/>
    <col min="10" max="10" width="16.453125" style="154" customWidth="1"/>
    <col min="11" max="11" width="16.1796875" style="154" customWidth="1"/>
    <col min="12" max="12" width="15.1796875" style="154" customWidth="1"/>
    <col min="13" max="13" width="13.7265625" style="154" customWidth="1"/>
    <col min="14" max="14" width="18.26953125" style="154" customWidth="1"/>
    <col min="15" max="16384" width="9.1796875" style="154"/>
  </cols>
  <sheetData>
    <row r="1" spans="1:14" ht="23" x14ac:dyDescent="0.3">
      <c r="A1" s="148" t="s">
        <v>0</v>
      </c>
      <c r="C1" s="150"/>
      <c r="D1" s="149"/>
      <c r="E1" s="151"/>
      <c r="F1" s="152"/>
      <c r="K1" s="153" t="s">
        <v>195</v>
      </c>
    </row>
    <row r="3" spans="1:14" x14ac:dyDescent="0.3">
      <c r="A3" s="155" t="s">
        <v>218</v>
      </c>
      <c r="G3" s="155"/>
      <c r="J3" s="155"/>
      <c r="K3" s="165"/>
    </row>
    <row r="4" spans="1:14" x14ac:dyDescent="0.3">
      <c r="A4" s="155" t="s">
        <v>219</v>
      </c>
    </row>
    <row r="5" spans="1:14" x14ac:dyDescent="0.3">
      <c r="A5" s="155"/>
    </row>
    <row r="6" spans="1:14" x14ac:dyDescent="0.3">
      <c r="A6" s="155" t="s">
        <v>174</v>
      </c>
    </row>
    <row r="7" spans="1:14" x14ac:dyDescent="0.3">
      <c r="B7" s="155"/>
    </row>
    <row r="8" spans="1:14" x14ac:dyDescent="0.3">
      <c r="A8" s="155" t="s">
        <v>196</v>
      </c>
      <c r="B8" s="155" t="s">
        <v>106</v>
      </c>
    </row>
    <row r="9" spans="1:14" x14ac:dyDescent="0.3">
      <c r="A9" s="155"/>
      <c r="B9" s="155"/>
    </row>
    <row r="10" spans="1:14" s="156" customFormat="1" ht="72" customHeight="1" x14ac:dyDescent="0.3">
      <c r="B10" s="163" t="s">
        <v>107</v>
      </c>
      <c r="C10" s="163" t="s">
        <v>228</v>
      </c>
      <c r="D10" s="163" t="s">
        <v>99</v>
      </c>
      <c r="E10" s="163" t="s">
        <v>100</v>
      </c>
      <c r="F10" s="163" t="s">
        <v>229</v>
      </c>
      <c r="G10" s="163" t="s">
        <v>141</v>
      </c>
      <c r="H10" s="163" t="s">
        <v>142</v>
      </c>
      <c r="I10" s="163" t="s">
        <v>143</v>
      </c>
      <c r="J10" s="154"/>
      <c r="K10" s="154"/>
      <c r="L10" s="154"/>
      <c r="M10" s="154"/>
      <c r="N10" s="154"/>
    </row>
    <row r="11" spans="1:14" x14ac:dyDescent="0.3">
      <c r="B11" s="161" t="s">
        <v>220</v>
      </c>
      <c r="C11" s="160"/>
      <c r="D11" s="160"/>
      <c r="E11" s="160"/>
      <c r="F11" s="160"/>
      <c r="G11" s="160"/>
      <c r="H11" s="160"/>
      <c r="I11" s="159"/>
    </row>
    <row r="12" spans="1:14" x14ac:dyDescent="0.3">
      <c r="B12" s="162" t="s">
        <v>221</v>
      </c>
      <c r="C12" s="160"/>
      <c r="D12" s="160"/>
      <c r="E12" s="160"/>
      <c r="F12" s="160"/>
      <c r="G12" s="160"/>
      <c r="H12" s="160"/>
      <c r="I12" s="159"/>
    </row>
    <row r="13" spans="1:14" x14ac:dyDescent="0.3">
      <c r="B13" s="162" t="s">
        <v>222</v>
      </c>
      <c r="C13" s="160"/>
      <c r="D13" s="160"/>
      <c r="E13" s="160"/>
      <c r="F13" s="160"/>
      <c r="G13" s="160"/>
      <c r="H13" s="160"/>
      <c r="I13" s="159"/>
    </row>
    <row r="14" spans="1:14" x14ac:dyDescent="0.3">
      <c r="B14" s="161" t="s">
        <v>220</v>
      </c>
      <c r="C14" s="160"/>
      <c r="D14" s="160"/>
      <c r="E14" s="160"/>
      <c r="F14" s="160"/>
      <c r="G14" s="160"/>
      <c r="H14" s="160"/>
      <c r="I14" s="159"/>
    </row>
    <row r="15" spans="1:14" x14ac:dyDescent="0.3">
      <c r="B15" s="161" t="s">
        <v>220</v>
      </c>
      <c r="C15" s="160"/>
      <c r="D15" s="160"/>
      <c r="E15" s="160"/>
      <c r="F15" s="160"/>
      <c r="G15" s="160"/>
      <c r="H15" s="160"/>
      <c r="I15" s="159"/>
    </row>
    <row r="16" spans="1:14" x14ac:dyDescent="0.3">
      <c r="B16" s="162" t="s">
        <v>222</v>
      </c>
      <c r="C16" s="160"/>
      <c r="D16" s="160"/>
      <c r="E16" s="160"/>
      <c r="F16" s="160"/>
      <c r="G16" s="160"/>
      <c r="H16" s="160"/>
      <c r="I16" s="159"/>
    </row>
    <row r="17" spans="2:9" x14ac:dyDescent="0.3">
      <c r="B17" s="162" t="s">
        <v>222</v>
      </c>
      <c r="C17" s="160"/>
      <c r="D17" s="160"/>
      <c r="E17" s="160"/>
      <c r="F17" s="160"/>
      <c r="G17" s="160"/>
      <c r="H17" s="160"/>
      <c r="I17" s="159"/>
    </row>
    <row r="18" spans="2:9" x14ac:dyDescent="0.3">
      <c r="B18" s="162" t="s">
        <v>223</v>
      </c>
      <c r="C18" s="160"/>
      <c r="D18" s="160"/>
      <c r="E18" s="160"/>
      <c r="F18" s="160"/>
      <c r="G18" s="160"/>
      <c r="H18" s="160"/>
      <c r="I18" s="159"/>
    </row>
    <row r="19" spans="2:9" x14ac:dyDescent="0.3">
      <c r="B19" s="162" t="s">
        <v>224</v>
      </c>
      <c r="C19" s="160"/>
      <c r="D19" s="160"/>
      <c r="E19" s="160"/>
      <c r="F19" s="160"/>
      <c r="G19" s="160"/>
      <c r="H19" s="160"/>
      <c r="I19" s="159"/>
    </row>
    <row r="20" spans="2:9" x14ac:dyDescent="0.3">
      <c r="B20" s="162" t="s">
        <v>225</v>
      </c>
      <c r="C20" s="160"/>
      <c r="D20" s="160"/>
      <c r="E20" s="160"/>
      <c r="F20" s="160"/>
      <c r="G20" s="160"/>
      <c r="H20" s="160"/>
      <c r="I20" s="159"/>
    </row>
    <row r="21" spans="2:9" x14ac:dyDescent="0.3">
      <c r="B21" s="162" t="s">
        <v>226</v>
      </c>
      <c r="C21" s="160"/>
      <c r="D21" s="160"/>
      <c r="E21" s="160"/>
      <c r="F21" s="160"/>
      <c r="G21" s="160"/>
      <c r="H21" s="160"/>
      <c r="I21" s="159"/>
    </row>
    <row r="22" spans="2:9" ht="15" customHeight="1" x14ac:dyDescent="0.3"/>
    <row r="23" spans="2:9" ht="15" customHeight="1" x14ac:dyDescent="0.3"/>
    <row r="24" spans="2:9" ht="15" customHeight="1" x14ac:dyDescent="0.3"/>
    <row r="25" spans="2:9" ht="15" customHeight="1" x14ac:dyDescent="0.3"/>
    <row r="26" spans="2:9" ht="15" customHeight="1" x14ac:dyDescent="0.3"/>
    <row r="27" spans="2:9" ht="15" customHeight="1" x14ac:dyDescent="0.3"/>
    <row r="28" spans="2:9" ht="15" customHeight="1" x14ac:dyDescent="0.3"/>
    <row r="29" spans="2:9" ht="15" customHeight="1" x14ac:dyDescent="0.3"/>
    <row r="30" spans="2:9" ht="15" customHeight="1" x14ac:dyDescent="0.3"/>
    <row r="31" spans="2:9" ht="15" customHeight="1" x14ac:dyDescent="0.3"/>
    <row r="32" spans="2:9" ht="15" customHeight="1" x14ac:dyDescent="0.3"/>
    <row r="33" spans="1:14" ht="15" customHeight="1" x14ac:dyDescent="0.3"/>
    <row r="34" spans="1:14" ht="15" customHeight="1" x14ac:dyDescent="0.3"/>
    <row r="35" spans="1:14" x14ac:dyDescent="0.3">
      <c r="J35" s="155"/>
      <c r="K35" s="155"/>
      <c r="L35" s="155"/>
      <c r="M35" s="155"/>
      <c r="N35" s="155"/>
    </row>
    <row r="39" spans="1:14" s="155" customFormat="1" hidden="1" x14ac:dyDescent="0.3">
      <c r="A39" s="155" t="s">
        <v>202</v>
      </c>
      <c r="B39" s="155" t="s">
        <v>108</v>
      </c>
      <c r="L39" s="154"/>
      <c r="M39" s="154"/>
      <c r="N39" s="154"/>
    </row>
    <row r="40" spans="1:14" hidden="1" x14ac:dyDescent="0.3">
      <c r="H40" s="167" t="s">
        <v>149</v>
      </c>
      <c r="I40" s="167" t="s">
        <v>150</v>
      </c>
      <c r="J40" s="167" t="s">
        <v>151</v>
      </c>
    </row>
    <row r="41" spans="1:14" ht="71.25" hidden="1" customHeight="1" x14ac:dyDescent="0.3">
      <c r="B41" s="157" t="s">
        <v>107</v>
      </c>
      <c r="C41" s="157" t="s">
        <v>145</v>
      </c>
      <c r="D41" s="157" t="s">
        <v>123</v>
      </c>
      <c r="E41" s="157" t="s">
        <v>124</v>
      </c>
      <c r="F41" s="168" t="s">
        <v>152</v>
      </c>
      <c r="G41" s="157" t="s">
        <v>188</v>
      </c>
      <c r="H41" s="157" t="s">
        <v>146</v>
      </c>
      <c r="I41" s="157" t="s">
        <v>147</v>
      </c>
      <c r="J41" s="157" t="s">
        <v>148</v>
      </c>
      <c r="K41" s="157" t="s">
        <v>109</v>
      </c>
      <c r="L41" s="166"/>
    </row>
    <row r="42" spans="1:14" ht="25" hidden="1" customHeight="1" x14ac:dyDescent="0.3">
      <c r="B42" s="158"/>
      <c r="C42" s="164"/>
      <c r="D42" s="164"/>
      <c r="E42" s="164"/>
      <c r="F42" s="164"/>
      <c r="G42" s="169"/>
      <c r="H42" s="160"/>
      <c r="I42" s="159"/>
      <c r="J42" s="159"/>
      <c r="K42" s="159"/>
    </row>
    <row r="43" spans="1:14" ht="25" hidden="1" customHeight="1" x14ac:dyDescent="0.3">
      <c r="B43" s="158"/>
      <c r="C43" s="158"/>
      <c r="D43" s="158"/>
      <c r="E43" s="158"/>
      <c r="F43" s="158"/>
      <c r="G43" s="158"/>
      <c r="H43" s="158"/>
      <c r="I43" s="158"/>
      <c r="J43" s="158"/>
      <c r="K43" s="158"/>
    </row>
    <row r="44" spans="1:14" ht="25" hidden="1" customHeight="1" x14ac:dyDescent="0.3">
      <c r="B44" s="158"/>
      <c r="C44" s="158"/>
      <c r="D44" s="158"/>
      <c r="E44" s="158"/>
      <c r="F44" s="158"/>
      <c r="G44" s="158"/>
      <c r="H44" s="158"/>
      <c r="I44" s="158"/>
      <c r="J44" s="158"/>
      <c r="K44" s="158"/>
    </row>
    <row r="45" spans="1:14" ht="25" hidden="1" customHeight="1" x14ac:dyDescent="0.3">
      <c r="B45" s="158"/>
      <c r="C45" s="158"/>
      <c r="D45" s="158"/>
      <c r="E45" s="158"/>
      <c r="F45" s="158"/>
      <c r="G45" s="158"/>
      <c r="H45" s="158"/>
      <c r="I45" s="158"/>
      <c r="J45" s="158"/>
      <c r="K45" s="158"/>
    </row>
    <row r="46" spans="1:14" ht="25" hidden="1" customHeight="1" x14ac:dyDescent="0.3">
      <c r="B46" s="158"/>
      <c r="C46" s="158"/>
      <c r="D46" s="158"/>
      <c r="E46" s="158"/>
      <c r="F46" s="158"/>
      <c r="G46" s="158"/>
      <c r="H46" s="158"/>
      <c r="I46" s="158"/>
      <c r="J46" s="158"/>
      <c r="K46" s="158"/>
    </row>
    <row r="47" spans="1:14" hidden="1" x14ac:dyDescent="0.3"/>
    <row r="48" spans="1:14" ht="15" hidden="1" customHeight="1" x14ac:dyDescent="0.3">
      <c r="A48" s="154" t="s">
        <v>153</v>
      </c>
      <c r="B48" s="155" t="s">
        <v>227</v>
      </c>
    </row>
    <row r="49" spans="2:2" ht="15" hidden="1" customHeight="1" x14ac:dyDescent="0.3">
      <c r="B49" s="154" t="s">
        <v>209</v>
      </c>
    </row>
    <row r="50" spans="2:2" ht="15" hidden="1" customHeight="1" x14ac:dyDescent="0.3"/>
    <row r="51" spans="2:2" ht="15" hidden="1" customHeight="1" x14ac:dyDescent="0.3">
      <c r="B51" s="154" t="s">
        <v>189</v>
      </c>
    </row>
    <row r="52" spans="2:2" hidden="1" x14ac:dyDescent="0.3"/>
    <row r="53" spans="2:2" hidden="1" x14ac:dyDescent="0.3"/>
    <row r="54" spans="2:2" hidden="1" x14ac:dyDescent="0.3"/>
    <row r="55" spans="2:2" hidden="1" x14ac:dyDescent="0.3"/>
    <row r="56" spans="2:2" hidden="1" x14ac:dyDescent="0.3"/>
    <row r="57" spans="2:2" hidden="1" x14ac:dyDescent="0.3"/>
    <row r="58" spans="2:2" hidden="1" x14ac:dyDescent="0.3"/>
    <row r="59" spans="2:2" hidden="1" x14ac:dyDescent="0.3"/>
    <row r="60" spans="2:2" hidden="1" x14ac:dyDescent="0.3"/>
    <row r="61" spans="2:2" hidden="1" x14ac:dyDescent="0.3"/>
    <row r="62" spans="2:2" hidden="1" x14ac:dyDescent="0.3"/>
    <row r="63" spans="2:2" hidden="1" x14ac:dyDescent="0.3"/>
    <row r="64" spans="2:2" hidden="1" x14ac:dyDescent="0.3"/>
    <row r="65" hidden="1" x14ac:dyDescent="0.3"/>
  </sheetData>
  <pageMargins left="0.25" right="0.75" top="1" bottom="0.25" header="0.3" footer="0.3"/>
  <pageSetup paperSize="9" scale="72"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76"/>
  <sheetViews>
    <sheetView workbookViewId="0"/>
  </sheetViews>
  <sheetFormatPr defaultColWidth="9.1796875" defaultRowHeight="14" x14ac:dyDescent="0.3"/>
  <cols>
    <col min="1" max="1" width="9.81640625" style="95" customWidth="1"/>
    <col min="2" max="2" width="18.81640625" style="95" customWidth="1"/>
    <col min="3" max="3" width="17" style="95" customWidth="1"/>
    <col min="4" max="4" width="18" style="100" customWidth="1"/>
    <col min="5" max="5" width="14.453125" style="100" customWidth="1"/>
    <col min="6" max="6" width="14.26953125" style="101" customWidth="1"/>
    <col min="7" max="7" width="15.453125" style="95" customWidth="1"/>
    <col min="8" max="8" width="1.81640625" style="95" customWidth="1"/>
    <col min="9" max="9" width="12.453125" style="95" customWidth="1"/>
    <col min="10" max="10" width="18.54296875" style="95" bestFit="1" customWidth="1"/>
    <col min="11" max="11" width="13.26953125" style="95" bestFit="1" customWidth="1"/>
    <col min="12" max="16384" width="9.1796875" style="95"/>
  </cols>
  <sheetData>
    <row r="1" spans="1:11" ht="22.5" x14ac:dyDescent="0.3">
      <c r="A1" s="94" t="s">
        <v>0</v>
      </c>
      <c r="C1" s="96"/>
      <c r="D1" s="97"/>
      <c r="E1" s="96"/>
      <c r="F1" s="98"/>
      <c r="G1" s="99" t="s">
        <v>195</v>
      </c>
    </row>
    <row r="3" spans="1:11" ht="15" customHeight="1" x14ac:dyDescent="0.3">
      <c r="A3" s="102" t="s">
        <v>91</v>
      </c>
      <c r="D3" s="103" t="s">
        <v>210</v>
      </c>
      <c r="E3" s="104"/>
      <c r="F3" s="105"/>
      <c r="G3" s="102" t="s">
        <v>175</v>
      </c>
    </row>
    <row r="4" spans="1:11" ht="15" customHeight="1" x14ac:dyDescent="0.3">
      <c r="A4" s="102" t="s">
        <v>127</v>
      </c>
      <c r="D4" s="104"/>
      <c r="E4" s="104"/>
      <c r="F4" s="105"/>
      <c r="G4" s="105"/>
    </row>
    <row r="5" spans="1:11" ht="16.5" customHeight="1" x14ac:dyDescent="0.3">
      <c r="A5" s="102"/>
      <c r="D5" s="104"/>
      <c r="E5" s="104"/>
      <c r="F5" s="105"/>
      <c r="G5" s="105"/>
    </row>
    <row r="6" spans="1:11" x14ac:dyDescent="0.3">
      <c r="A6" s="95" t="s">
        <v>92</v>
      </c>
      <c r="B6" s="106"/>
      <c r="D6" s="107" t="s">
        <v>158</v>
      </c>
      <c r="E6" s="95"/>
      <c r="F6" s="108"/>
      <c r="I6" s="109"/>
    </row>
    <row r="7" spans="1:11" x14ac:dyDescent="0.3">
      <c r="A7" s="95" t="s">
        <v>159</v>
      </c>
      <c r="B7" s="106"/>
      <c r="D7" s="110" t="s">
        <v>167</v>
      </c>
      <c r="E7" s="95"/>
      <c r="F7" s="108"/>
      <c r="I7" s="109"/>
    </row>
    <row r="8" spans="1:11" x14ac:dyDescent="0.3">
      <c r="A8" s="95" t="s">
        <v>160</v>
      </c>
      <c r="B8" s="106"/>
      <c r="D8" s="110" t="s">
        <v>168</v>
      </c>
      <c r="E8" s="95"/>
      <c r="F8" s="108"/>
      <c r="I8" s="109"/>
    </row>
    <row r="9" spans="1:11" x14ac:dyDescent="0.3">
      <c r="A9" s="95" t="s">
        <v>161</v>
      </c>
      <c r="B9" s="106"/>
      <c r="D9" s="111">
        <v>1560000</v>
      </c>
      <c r="E9" s="95"/>
      <c r="F9" s="108"/>
      <c r="I9" s="109"/>
      <c r="J9" s="108"/>
      <c r="K9" s="112"/>
    </row>
    <row r="10" spans="1:11" x14ac:dyDescent="0.3">
      <c r="A10" s="95" t="s">
        <v>162</v>
      </c>
      <c r="B10" s="106"/>
      <c r="D10" s="111">
        <v>59549.29</v>
      </c>
      <c r="E10" s="95"/>
      <c r="F10" s="108"/>
      <c r="I10" s="109"/>
      <c r="J10" s="108"/>
      <c r="K10" s="112"/>
    </row>
    <row r="11" spans="1:11" x14ac:dyDescent="0.3">
      <c r="A11" s="95" t="s">
        <v>169</v>
      </c>
      <c r="B11" s="106"/>
      <c r="D11" s="108">
        <v>3</v>
      </c>
      <c r="E11" s="95"/>
      <c r="F11" s="108"/>
      <c r="I11" s="109"/>
      <c r="J11" s="108"/>
      <c r="K11" s="112"/>
    </row>
    <row r="12" spans="1:11" x14ac:dyDescent="0.3">
      <c r="A12" s="95" t="s">
        <v>163</v>
      </c>
      <c r="B12" s="106"/>
      <c r="D12" s="113">
        <f>RATE(D11*12,-D10,D9,(0))*12</f>
        <v>0.21965527463484744</v>
      </c>
      <c r="E12" s="95" t="s">
        <v>190</v>
      </c>
      <c r="F12" s="108"/>
      <c r="I12" s="109"/>
      <c r="J12" s="108"/>
      <c r="K12" s="112"/>
    </row>
    <row r="13" spans="1:11" x14ac:dyDescent="0.3">
      <c r="A13" s="95" t="s">
        <v>157</v>
      </c>
      <c r="B13" s="106"/>
      <c r="D13" s="114">
        <f>D10*D11*12-D9</f>
        <v>583774.43999999994</v>
      </c>
      <c r="E13" s="95"/>
      <c r="F13" s="108"/>
      <c r="I13" s="109"/>
      <c r="J13" s="108"/>
      <c r="K13" s="112"/>
    </row>
    <row r="14" spans="1:11" ht="14.5" thickBot="1" x14ac:dyDescent="0.35">
      <c r="B14" s="106"/>
      <c r="D14" s="95"/>
      <c r="E14" s="95"/>
      <c r="F14" s="108"/>
      <c r="I14" s="109"/>
      <c r="J14" s="108"/>
      <c r="K14" s="112"/>
    </row>
    <row r="15" spans="1:11" s="115" customFormat="1" x14ac:dyDescent="0.3">
      <c r="A15" s="325" t="s">
        <v>211</v>
      </c>
      <c r="B15" s="327" t="s">
        <v>212</v>
      </c>
      <c r="C15" s="325" t="s">
        <v>213</v>
      </c>
      <c r="D15" s="325" t="s">
        <v>214</v>
      </c>
      <c r="E15" s="325" t="s">
        <v>215</v>
      </c>
      <c r="F15" s="325" t="s">
        <v>216</v>
      </c>
      <c r="G15" s="325" t="s">
        <v>217</v>
      </c>
      <c r="H15" s="95"/>
      <c r="I15" s="109"/>
      <c r="J15" s="95"/>
    </row>
    <row r="16" spans="1:11" ht="14.5" thickBot="1" x14ac:dyDescent="0.35">
      <c r="A16" s="326"/>
      <c r="B16" s="328"/>
      <c r="C16" s="326"/>
      <c r="D16" s="326"/>
      <c r="E16" s="326"/>
      <c r="F16" s="326"/>
      <c r="G16" s="326"/>
      <c r="I16" s="109"/>
    </row>
    <row r="17" spans="1:11" x14ac:dyDescent="0.3">
      <c r="B17" s="106"/>
      <c r="D17" s="95"/>
      <c r="E17" s="95"/>
      <c r="F17" s="108"/>
      <c r="I17" s="109"/>
      <c r="J17" s="112"/>
    </row>
    <row r="18" spans="1:11" x14ac:dyDescent="0.3">
      <c r="A18" s="108">
        <v>1</v>
      </c>
      <c r="B18" s="106">
        <f>D9</f>
        <v>1560000</v>
      </c>
      <c r="C18" s="112">
        <f>$D$10</f>
        <v>59549.29</v>
      </c>
      <c r="D18" s="112">
        <f>C18-E18</f>
        <v>30994.104297469832</v>
      </c>
      <c r="E18" s="112">
        <f>B18*$D$12/12</f>
        <v>28555.185702530169</v>
      </c>
      <c r="F18" s="116">
        <f>$D$12</f>
        <v>0.21965527463484744</v>
      </c>
      <c r="G18" s="112">
        <f>B18-D18</f>
        <v>1529005.8957025302</v>
      </c>
    </row>
    <row r="19" spans="1:11" x14ac:dyDescent="0.3">
      <c r="A19" s="108">
        <v>2</v>
      </c>
      <c r="B19" s="106">
        <f>G18</f>
        <v>1529005.8957025302</v>
      </c>
      <c r="C19" s="112">
        <f t="shared" ref="C19:C29" si="0">$D$10</f>
        <v>59549.29</v>
      </c>
      <c r="D19" s="112">
        <f>C19-E19</f>
        <v>31561.439171763319</v>
      </c>
      <c r="E19" s="112">
        <f t="shared" ref="E19:E29" si="1">B19*$D$12/12</f>
        <v>27987.850828236682</v>
      </c>
      <c r="F19" s="116">
        <f t="shared" ref="F19:F29" si="2">$D$12</f>
        <v>0.21965527463484744</v>
      </c>
      <c r="G19" s="112">
        <f t="shared" ref="G19:G59" si="3">B19-D19</f>
        <v>1497444.4565307668</v>
      </c>
      <c r="I19" s="109"/>
      <c r="K19" s="112"/>
    </row>
    <row r="20" spans="1:11" x14ac:dyDescent="0.3">
      <c r="A20" s="108">
        <v>3</v>
      </c>
      <c r="B20" s="106">
        <f t="shared" ref="B20:B59" si="4">G19</f>
        <v>1497444.4565307668</v>
      </c>
      <c r="C20" s="112">
        <f t="shared" si="0"/>
        <v>59549.29</v>
      </c>
      <c r="D20" s="112">
        <f t="shared" ref="D20:D59" si="5">C20-E20</f>
        <v>32139.158887525384</v>
      </c>
      <c r="E20" s="112">
        <f t="shared" si="1"/>
        <v>27410.131112474617</v>
      </c>
      <c r="F20" s="116">
        <f t="shared" si="2"/>
        <v>0.21965527463484744</v>
      </c>
      <c r="G20" s="112">
        <f t="shared" si="3"/>
        <v>1465305.2976432415</v>
      </c>
      <c r="I20" s="109"/>
      <c r="K20" s="117"/>
    </row>
    <row r="21" spans="1:11" x14ac:dyDescent="0.3">
      <c r="A21" s="108">
        <v>4</v>
      </c>
      <c r="B21" s="106">
        <f t="shared" si="4"/>
        <v>1465305.2976432415</v>
      </c>
      <c r="C21" s="112">
        <f t="shared" si="0"/>
        <v>59549.29</v>
      </c>
      <c r="D21" s="112">
        <f t="shared" si="5"/>
        <v>32727.453535189743</v>
      </c>
      <c r="E21" s="112">
        <f t="shared" si="1"/>
        <v>26821.836464810258</v>
      </c>
      <c r="F21" s="116">
        <f t="shared" si="2"/>
        <v>0.21965527463484744</v>
      </c>
      <c r="G21" s="112">
        <f t="shared" si="3"/>
        <v>1432577.8441080516</v>
      </c>
      <c r="I21" s="109"/>
    </row>
    <row r="22" spans="1:11" x14ac:dyDescent="0.3">
      <c r="A22" s="108">
        <v>5</v>
      </c>
      <c r="B22" s="106">
        <f t="shared" si="4"/>
        <v>1432577.8441080516</v>
      </c>
      <c r="C22" s="112">
        <f t="shared" si="0"/>
        <v>59549.29</v>
      </c>
      <c r="D22" s="112">
        <f t="shared" si="5"/>
        <v>33326.516684720686</v>
      </c>
      <c r="E22" s="112">
        <f t="shared" si="1"/>
        <v>26222.773315279312</v>
      </c>
      <c r="F22" s="116">
        <f t="shared" si="2"/>
        <v>0.21965527463484744</v>
      </c>
      <c r="G22" s="112">
        <f t="shared" si="3"/>
        <v>1399251.3274233309</v>
      </c>
      <c r="H22" s="118"/>
      <c r="I22" s="119"/>
      <c r="J22" s="120"/>
    </row>
    <row r="23" spans="1:11" x14ac:dyDescent="0.3">
      <c r="A23" s="108">
        <v>6</v>
      </c>
      <c r="B23" s="106">
        <f t="shared" si="4"/>
        <v>1399251.3274233309</v>
      </c>
      <c r="C23" s="112">
        <f t="shared" si="0"/>
        <v>59549.29</v>
      </c>
      <c r="D23" s="112">
        <f t="shared" si="5"/>
        <v>33936.545449304453</v>
      </c>
      <c r="E23" s="112">
        <f t="shared" si="1"/>
        <v>25612.744550695545</v>
      </c>
      <c r="F23" s="116">
        <f t="shared" si="2"/>
        <v>0.21965527463484744</v>
      </c>
      <c r="G23" s="112">
        <f t="shared" si="3"/>
        <v>1365314.7819740265</v>
      </c>
      <c r="I23" s="119"/>
      <c r="J23" s="117"/>
    </row>
    <row r="24" spans="1:11" x14ac:dyDescent="0.3">
      <c r="A24" s="109" t="s">
        <v>170</v>
      </c>
      <c r="B24" s="121"/>
      <c r="C24" s="122">
        <f>SUM(C18:C23)</f>
        <v>357295.74</v>
      </c>
      <c r="D24" s="122">
        <f t="shared" ref="D24:E24" si="6">SUM(D18:D23)</f>
        <v>194685.21802597342</v>
      </c>
      <c r="E24" s="122">
        <f t="shared" si="6"/>
        <v>162610.5219740266</v>
      </c>
      <c r="F24" s="116"/>
      <c r="G24" s="112"/>
      <c r="I24" s="119"/>
      <c r="J24" s="117"/>
    </row>
    <row r="25" spans="1:11" x14ac:dyDescent="0.3">
      <c r="A25" s="108"/>
      <c r="B25" s="106"/>
      <c r="C25" s="112"/>
      <c r="D25" s="112"/>
      <c r="E25" s="112"/>
      <c r="F25" s="116"/>
      <c r="G25" s="112"/>
      <c r="I25" s="119"/>
      <c r="J25" s="117"/>
    </row>
    <row r="26" spans="1:11" x14ac:dyDescent="0.3">
      <c r="A26" s="108">
        <v>7</v>
      </c>
      <c r="B26" s="106">
        <f>G23</f>
        <v>1365314.7819740265</v>
      </c>
      <c r="C26" s="112">
        <f t="shared" si="0"/>
        <v>59549.29</v>
      </c>
      <c r="D26" s="112">
        <f t="shared" si="5"/>
        <v>34557.74055020653</v>
      </c>
      <c r="E26" s="112">
        <f t="shared" si="1"/>
        <v>24991.549449793471</v>
      </c>
      <c r="F26" s="116">
        <f t="shared" si="2"/>
        <v>0.21965527463484744</v>
      </c>
      <c r="G26" s="112">
        <f t="shared" si="3"/>
        <v>1330757.04142382</v>
      </c>
      <c r="I26" s="109"/>
    </row>
    <row r="27" spans="1:11" x14ac:dyDescent="0.3">
      <c r="A27" s="108">
        <v>8</v>
      </c>
      <c r="B27" s="106">
        <f t="shared" si="4"/>
        <v>1330757.04142382</v>
      </c>
      <c r="C27" s="112">
        <f t="shared" si="0"/>
        <v>59549.29</v>
      </c>
      <c r="D27" s="112">
        <f t="shared" si="5"/>
        <v>35190.306382816154</v>
      </c>
      <c r="E27" s="112">
        <f t="shared" si="1"/>
        <v>24358.983617183851</v>
      </c>
      <c r="F27" s="116">
        <f t="shared" si="2"/>
        <v>0.21965527463484744</v>
      </c>
      <c r="G27" s="112">
        <f t="shared" si="3"/>
        <v>1295566.7350410039</v>
      </c>
      <c r="I27" s="123"/>
    </row>
    <row r="28" spans="1:11" x14ac:dyDescent="0.3">
      <c r="A28" s="108">
        <v>9</v>
      </c>
      <c r="B28" s="106">
        <f>G27</f>
        <v>1295566.7350410039</v>
      </c>
      <c r="C28" s="112">
        <f t="shared" si="0"/>
        <v>59549.29</v>
      </c>
      <c r="D28" s="112">
        <f t="shared" si="5"/>
        <v>35834.451083899636</v>
      </c>
      <c r="E28" s="112">
        <f t="shared" si="1"/>
        <v>23714.838916100362</v>
      </c>
      <c r="F28" s="116">
        <f t="shared" si="2"/>
        <v>0.21965527463484744</v>
      </c>
      <c r="G28" s="112">
        <f t="shared" si="3"/>
        <v>1259732.2839571042</v>
      </c>
      <c r="I28" s="109"/>
    </row>
    <row r="29" spans="1:11" x14ac:dyDescent="0.3">
      <c r="A29" s="108">
        <v>10</v>
      </c>
      <c r="B29" s="106">
        <f>G28</f>
        <v>1259732.2839571042</v>
      </c>
      <c r="C29" s="112">
        <f t="shared" si="0"/>
        <v>59549.29</v>
      </c>
      <c r="D29" s="112">
        <f t="shared" si="5"/>
        <v>36490.386600084894</v>
      </c>
      <c r="E29" s="112">
        <f t="shared" si="1"/>
        <v>23058.903399915111</v>
      </c>
      <c r="F29" s="116">
        <f t="shared" si="2"/>
        <v>0.21965527463484744</v>
      </c>
      <c r="G29" s="112">
        <f t="shared" si="3"/>
        <v>1223241.8973570194</v>
      </c>
      <c r="I29" s="109"/>
    </row>
    <row r="30" spans="1:11" x14ac:dyDescent="0.3">
      <c r="A30" s="108">
        <v>11</v>
      </c>
      <c r="B30" s="106">
        <f>G29</f>
        <v>1223241.8973570194</v>
      </c>
      <c r="C30" s="112">
        <f>$D$10</f>
        <v>59549.29</v>
      </c>
      <c r="D30" s="112">
        <f t="shared" si="5"/>
        <v>37158.328757599338</v>
      </c>
      <c r="E30" s="112">
        <f>B30*$D$12/12</f>
        <v>22390.961242400663</v>
      </c>
      <c r="F30" s="116">
        <f>$D$12</f>
        <v>0.21965527463484744</v>
      </c>
      <c r="G30" s="112">
        <f t="shared" si="3"/>
        <v>1186083.5685994201</v>
      </c>
      <c r="J30" s="120"/>
    </row>
    <row r="31" spans="1:11" x14ac:dyDescent="0.3">
      <c r="A31" s="108">
        <v>12</v>
      </c>
      <c r="B31" s="106">
        <f t="shared" si="4"/>
        <v>1186083.5685994201</v>
      </c>
      <c r="C31" s="112">
        <f t="shared" ref="C31:C43" si="7">$D$10</f>
        <v>59549.29</v>
      </c>
      <c r="D31" s="112">
        <f t="shared" si="5"/>
        <v>37838.49733328454</v>
      </c>
      <c r="E31" s="112">
        <f t="shared" ref="E31:E43" si="8">B31*$D$12/12</f>
        <v>21710.792666715461</v>
      </c>
      <c r="F31" s="116">
        <f t="shared" ref="F31:F43" si="9">$D$12</f>
        <v>0.21965527463484744</v>
      </c>
      <c r="G31" s="112">
        <f t="shared" si="3"/>
        <v>1148245.0712661357</v>
      </c>
      <c r="I31" s="109"/>
      <c r="J31" s="120"/>
    </row>
    <row r="32" spans="1:11" x14ac:dyDescent="0.3">
      <c r="A32" s="108">
        <v>13</v>
      </c>
      <c r="B32" s="106">
        <f t="shared" si="4"/>
        <v>1148245.0712661357</v>
      </c>
      <c r="C32" s="112">
        <f t="shared" si="7"/>
        <v>59549.29</v>
      </c>
      <c r="D32" s="112">
        <f t="shared" si="5"/>
        <v>38531.11612691058</v>
      </c>
      <c r="E32" s="112">
        <f t="shared" si="8"/>
        <v>21018.173873089418</v>
      </c>
      <c r="F32" s="116">
        <f t="shared" si="9"/>
        <v>0.21965527463484744</v>
      </c>
      <c r="G32" s="112">
        <f t="shared" si="3"/>
        <v>1109713.9551392251</v>
      </c>
      <c r="I32" s="109"/>
      <c r="J32" s="120"/>
    </row>
    <row r="33" spans="1:10" x14ac:dyDescent="0.3">
      <c r="A33" s="108">
        <v>14</v>
      </c>
      <c r="B33" s="106">
        <f t="shared" si="4"/>
        <v>1109713.9551392251</v>
      </c>
      <c r="C33" s="112">
        <f t="shared" si="7"/>
        <v>59549.29</v>
      </c>
      <c r="D33" s="112">
        <f t="shared" si="5"/>
        <v>39236.413034814228</v>
      </c>
      <c r="E33" s="112">
        <f t="shared" si="8"/>
        <v>20312.876965185773</v>
      </c>
      <c r="F33" s="116">
        <f t="shared" si="9"/>
        <v>0.21965527463484744</v>
      </c>
      <c r="G33" s="112">
        <f t="shared" si="3"/>
        <v>1070477.5421044109</v>
      </c>
      <c r="I33" s="109"/>
      <c r="J33" s="120"/>
    </row>
    <row r="34" spans="1:10" x14ac:dyDescent="0.3">
      <c r="A34" s="108">
        <v>15</v>
      </c>
      <c r="B34" s="106">
        <f t="shared" si="4"/>
        <v>1070477.5421044109</v>
      </c>
      <c r="C34" s="112">
        <f t="shared" si="7"/>
        <v>59549.29</v>
      </c>
      <c r="D34" s="112">
        <f t="shared" si="5"/>
        <v>39954.620124884925</v>
      </c>
      <c r="E34" s="112">
        <f t="shared" si="8"/>
        <v>19594.669875115073</v>
      </c>
      <c r="F34" s="116">
        <f t="shared" si="9"/>
        <v>0.21965527463484744</v>
      </c>
      <c r="G34" s="112">
        <f t="shared" si="3"/>
        <v>1030522.9219795261</v>
      </c>
      <c r="I34" s="109"/>
      <c r="J34" s="120"/>
    </row>
    <row r="35" spans="1:10" x14ac:dyDescent="0.3">
      <c r="A35" s="108">
        <v>16</v>
      </c>
      <c r="B35" s="106">
        <f t="shared" si="4"/>
        <v>1030522.9219795261</v>
      </c>
      <c r="C35" s="112">
        <f t="shared" si="7"/>
        <v>59549.29</v>
      </c>
      <c r="D35" s="112">
        <f t="shared" si="5"/>
        <v>40685.973712923485</v>
      </c>
      <c r="E35" s="112">
        <f t="shared" si="8"/>
        <v>18863.316287076519</v>
      </c>
      <c r="F35" s="116">
        <f t="shared" si="9"/>
        <v>0.21965527463484744</v>
      </c>
      <c r="G35" s="112">
        <f t="shared" si="3"/>
        <v>989836.94826660259</v>
      </c>
      <c r="I35" s="119"/>
      <c r="J35" s="120"/>
    </row>
    <row r="36" spans="1:10" x14ac:dyDescent="0.3">
      <c r="A36" s="108">
        <v>17</v>
      </c>
      <c r="B36" s="106">
        <f t="shared" si="4"/>
        <v>989836.94826660259</v>
      </c>
      <c r="C36" s="112">
        <f t="shared" si="7"/>
        <v>59549.29</v>
      </c>
      <c r="D36" s="112">
        <f t="shared" si="5"/>
        <v>41430.71444039834</v>
      </c>
      <c r="E36" s="112">
        <f t="shared" si="8"/>
        <v>18118.575559601657</v>
      </c>
      <c r="F36" s="116">
        <f t="shared" si="9"/>
        <v>0.21965527463484744</v>
      </c>
      <c r="G36" s="112">
        <f t="shared" si="3"/>
        <v>948406.2338262042</v>
      </c>
      <c r="H36" s="102" t="s">
        <v>164</v>
      </c>
      <c r="I36" s="119"/>
      <c r="J36" s="120"/>
    </row>
    <row r="37" spans="1:10" x14ac:dyDescent="0.3">
      <c r="A37" s="109" t="s">
        <v>171</v>
      </c>
      <c r="B37" s="121"/>
      <c r="C37" s="122">
        <f>SUM(C26:C36)</f>
        <v>655042.19000000006</v>
      </c>
      <c r="D37" s="122">
        <f t="shared" ref="D37:E37" si="10">SUM(D26:D36)</f>
        <v>416908.54814782261</v>
      </c>
      <c r="E37" s="122">
        <f t="shared" si="10"/>
        <v>238133.64185217736</v>
      </c>
      <c r="F37" s="116"/>
      <c r="G37" s="112"/>
      <c r="I37" s="119"/>
      <c r="J37" s="120"/>
    </row>
    <row r="38" spans="1:10" x14ac:dyDescent="0.3">
      <c r="A38" s="108"/>
      <c r="B38" s="106"/>
      <c r="C38" s="112"/>
      <c r="D38" s="112"/>
      <c r="E38" s="112"/>
      <c r="F38" s="116"/>
      <c r="G38" s="112"/>
      <c r="I38" s="119"/>
      <c r="J38" s="120"/>
    </row>
    <row r="39" spans="1:10" x14ac:dyDescent="0.3">
      <c r="A39" s="108">
        <v>18</v>
      </c>
      <c r="B39" s="106">
        <f>G36</f>
        <v>948406.2338262042</v>
      </c>
      <c r="C39" s="112">
        <f t="shared" si="7"/>
        <v>59549.29</v>
      </c>
      <c r="D39" s="112">
        <f t="shared" si="5"/>
        <v>42189.08735362532</v>
      </c>
      <c r="E39" s="112">
        <f t="shared" si="8"/>
        <v>17360.202646374684</v>
      </c>
      <c r="F39" s="116">
        <f t="shared" si="9"/>
        <v>0.21965527463484744</v>
      </c>
      <c r="G39" s="112">
        <f t="shared" si="3"/>
        <v>906217.14647257887</v>
      </c>
      <c r="I39" s="109"/>
      <c r="J39" s="117"/>
    </row>
    <row r="40" spans="1:10" x14ac:dyDescent="0.3">
      <c r="A40" s="108">
        <v>19</v>
      </c>
      <c r="B40" s="106">
        <f t="shared" si="4"/>
        <v>906217.14647257887</v>
      </c>
      <c r="C40" s="112">
        <f t="shared" si="7"/>
        <v>59549.29</v>
      </c>
      <c r="D40" s="112">
        <f t="shared" si="5"/>
        <v>42961.341984396495</v>
      </c>
      <c r="E40" s="112">
        <f t="shared" si="8"/>
        <v>16587.948015603506</v>
      </c>
      <c r="F40" s="116">
        <f t="shared" si="9"/>
        <v>0.21965527463484744</v>
      </c>
      <c r="G40" s="112">
        <f t="shared" si="3"/>
        <v>863255.80448818242</v>
      </c>
      <c r="I40" s="109"/>
    </row>
    <row r="41" spans="1:10" x14ac:dyDescent="0.3">
      <c r="A41" s="108">
        <v>20</v>
      </c>
      <c r="B41" s="106">
        <f t="shared" si="4"/>
        <v>863255.80448818242</v>
      </c>
      <c r="C41" s="112">
        <f t="shared" si="7"/>
        <v>59549.29</v>
      </c>
      <c r="D41" s="112">
        <f t="shared" si="5"/>
        <v>43747.732432085177</v>
      </c>
      <c r="E41" s="112">
        <f t="shared" si="8"/>
        <v>15801.557567914822</v>
      </c>
      <c r="F41" s="116">
        <f t="shared" si="9"/>
        <v>0.21965527463484744</v>
      </c>
      <c r="G41" s="112">
        <f t="shared" si="3"/>
        <v>819508.07205609721</v>
      </c>
      <c r="I41" s="109"/>
      <c r="J41" s="117"/>
    </row>
    <row r="42" spans="1:10" x14ac:dyDescent="0.3">
      <c r="A42" s="108">
        <v>21</v>
      </c>
      <c r="B42" s="106">
        <f>G41</f>
        <v>819508.07205609721</v>
      </c>
      <c r="C42" s="112">
        <f t="shared" si="7"/>
        <v>59549.29</v>
      </c>
      <c r="D42" s="112">
        <f t="shared" si="5"/>
        <v>44548.517447253638</v>
      </c>
      <c r="E42" s="112">
        <f t="shared" si="8"/>
        <v>15000.772552746364</v>
      </c>
      <c r="F42" s="116">
        <f t="shared" si="9"/>
        <v>0.21965527463484744</v>
      </c>
      <c r="G42" s="112">
        <f t="shared" si="3"/>
        <v>774959.55460884352</v>
      </c>
      <c r="I42" s="109"/>
    </row>
    <row r="43" spans="1:10" x14ac:dyDescent="0.3">
      <c r="A43" s="108">
        <v>22</v>
      </c>
      <c r="B43" s="106">
        <f>G42</f>
        <v>774959.55460884352</v>
      </c>
      <c r="C43" s="112">
        <f t="shared" si="7"/>
        <v>59549.29</v>
      </c>
      <c r="D43" s="112">
        <f t="shared" si="5"/>
        <v>45363.960516791289</v>
      </c>
      <c r="E43" s="112">
        <f t="shared" si="8"/>
        <v>14185.329483208714</v>
      </c>
      <c r="F43" s="116">
        <f t="shared" si="9"/>
        <v>0.21965527463484744</v>
      </c>
      <c r="G43" s="112">
        <f t="shared" si="3"/>
        <v>729595.5940920522</v>
      </c>
      <c r="I43" s="109"/>
    </row>
    <row r="44" spans="1:10" x14ac:dyDescent="0.3">
      <c r="A44" s="108">
        <v>23</v>
      </c>
      <c r="B44" s="106">
        <f>G43</f>
        <v>729595.5940920522</v>
      </c>
      <c r="C44" s="112">
        <f>$D$10</f>
        <v>59549.29</v>
      </c>
      <c r="D44" s="112">
        <f t="shared" si="5"/>
        <v>46194.329950611304</v>
      </c>
      <c r="E44" s="112">
        <f>B44*$D$12/12</f>
        <v>13354.960049388699</v>
      </c>
      <c r="F44" s="116">
        <f>$D$12</f>
        <v>0.21965527463484744</v>
      </c>
      <c r="G44" s="112">
        <f t="shared" si="3"/>
        <v>683401.26414144086</v>
      </c>
      <c r="I44" s="124"/>
    </row>
    <row r="45" spans="1:10" x14ac:dyDescent="0.3">
      <c r="A45" s="108">
        <v>24</v>
      </c>
      <c r="B45" s="106">
        <f t="shared" si="4"/>
        <v>683401.26414144086</v>
      </c>
      <c r="C45" s="112">
        <f t="shared" ref="C45:C57" si="11">$D$10</f>
        <v>59549.29</v>
      </c>
      <c r="D45" s="112">
        <f t="shared" si="5"/>
        <v>47039.898969934162</v>
      </c>
      <c r="E45" s="112">
        <f t="shared" ref="E45:E57" si="12">B45*$D$12/12</f>
        <v>12509.391030065841</v>
      </c>
      <c r="F45" s="116">
        <f t="shared" ref="F45:F57" si="13">$D$12</f>
        <v>0.21965527463484744</v>
      </c>
      <c r="G45" s="112">
        <f t="shared" si="3"/>
        <v>636361.36517150665</v>
      </c>
      <c r="I45" s="109"/>
    </row>
    <row r="46" spans="1:10" x14ac:dyDescent="0.3">
      <c r="A46" s="108">
        <v>25</v>
      </c>
      <c r="B46" s="106">
        <f t="shared" si="4"/>
        <v>636361.36517150665</v>
      </c>
      <c r="C46" s="112">
        <f t="shared" si="11"/>
        <v>59549.29</v>
      </c>
      <c r="D46" s="112">
        <f t="shared" si="5"/>
        <v>47900.945797187189</v>
      </c>
      <c r="E46" s="112">
        <f t="shared" si="12"/>
        <v>11648.344202812812</v>
      </c>
      <c r="F46" s="116">
        <f t="shared" si="13"/>
        <v>0.21965527463484744</v>
      </c>
      <c r="G46" s="112">
        <f t="shared" si="3"/>
        <v>588460.41937431949</v>
      </c>
      <c r="I46" s="109"/>
    </row>
    <row r="47" spans="1:10" x14ac:dyDescent="0.3">
      <c r="A47" s="108">
        <v>26</v>
      </c>
      <c r="B47" s="106">
        <f t="shared" si="4"/>
        <v>588460.41937431949</v>
      </c>
      <c r="C47" s="112">
        <f t="shared" si="11"/>
        <v>59549.29</v>
      </c>
      <c r="D47" s="112">
        <f t="shared" si="5"/>
        <v>48777.753747549694</v>
      </c>
      <c r="E47" s="112">
        <f t="shared" si="12"/>
        <v>10771.536252450303</v>
      </c>
      <c r="F47" s="116">
        <f t="shared" si="13"/>
        <v>0.21965527463484744</v>
      </c>
      <c r="G47" s="112">
        <f t="shared" si="3"/>
        <v>539682.66562676977</v>
      </c>
      <c r="I47" s="109"/>
    </row>
    <row r="48" spans="1:10" x14ac:dyDescent="0.3">
      <c r="A48" s="108">
        <v>27</v>
      </c>
      <c r="B48" s="106">
        <f t="shared" si="4"/>
        <v>539682.66562676977</v>
      </c>
      <c r="C48" s="112">
        <f t="shared" si="11"/>
        <v>59549.29</v>
      </c>
      <c r="D48" s="112">
        <f t="shared" si="5"/>
        <v>49670.611322173776</v>
      </c>
      <c r="E48" s="112">
        <f t="shared" si="12"/>
        <v>9878.6786778262212</v>
      </c>
      <c r="F48" s="116">
        <f t="shared" si="13"/>
        <v>0.21965527463484744</v>
      </c>
      <c r="G48" s="112">
        <f t="shared" si="3"/>
        <v>490012.05430459598</v>
      </c>
      <c r="I48" s="109"/>
    </row>
    <row r="49" spans="1:9" x14ac:dyDescent="0.3">
      <c r="A49" s="108">
        <v>28</v>
      </c>
      <c r="B49" s="106">
        <f t="shared" si="4"/>
        <v>490012.05430459598</v>
      </c>
      <c r="C49" s="112">
        <f t="shared" si="11"/>
        <v>59549.29</v>
      </c>
      <c r="D49" s="112">
        <f t="shared" si="5"/>
        <v>50579.812303111517</v>
      </c>
      <c r="E49" s="112">
        <f t="shared" si="12"/>
        <v>8969.4776968884835</v>
      </c>
      <c r="F49" s="116">
        <f t="shared" si="13"/>
        <v>0.21965527463484744</v>
      </c>
      <c r="G49" s="112">
        <f t="shared" si="3"/>
        <v>439432.24200148444</v>
      </c>
      <c r="I49" s="119"/>
    </row>
    <row r="50" spans="1:9" x14ac:dyDescent="0.3">
      <c r="A50" s="108">
        <v>29</v>
      </c>
      <c r="B50" s="106">
        <f t="shared" si="4"/>
        <v>439432.24200148444</v>
      </c>
      <c r="C50" s="112">
        <f t="shared" si="11"/>
        <v>59549.29</v>
      </c>
      <c r="D50" s="112">
        <f t="shared" si="5"/>
        <v>51505.655849979768</v>
      </c>
      <c r="E50" s="112">
        <f t="shared" si="12"/>
        <v>8043.6341500202334</v>
      </c>
      <c r="F50" s="116">
        <f t="shared" si="13"/>
        <v>0.21965527463484744</v>
      </c>
      <c r="G50" s="112">
        <f t="shared" si="3"/>
        <v>387926.58615150466</v>
      </c>
      <c r="I50" s="119"/>
    </row>
    <row r="51" spans="1:9" x14ac:dyDescent="0.3">
      <c r="A51" s="108">
        <v>30</v>
      </c>
      <c r="B51" s="106">
        <f t="shared" si="4"/>
        <v>387926.58615150466</v>
      </c>
      <c r="C51" s="112">
        <f t="shared" si="11"/>
        <v>59549.29</v>
      </c>
      <c r="D51" s="112">
        <f t="shared" si="5"/>
        <v>52448.446598394374</v>
      </c>
      <c r="E51" s="112">
        <f t="shared" si="12"/>
        <v>7100.8434016056299</v>
      </c>
      <c r="F51" s="116">
        <f t="shared" si="13"/>
        <v>0.21965527463484744</v>
      </c>
      <c r="G51" s="112">
        <f t="shared" si="3"/>
        <v>335478.13955311029</v>
      </c>
      <c r="H51" s="102" t="s">
        <v>165</v>
      </c>
      <c r="I51" s="109"/>
    </row>
    <row r="52" spans="1:9" x14ac:dyDescent="0.3">
      <c r="A52" s="109" t="s">
        <v>172</v>
      </c>
      <c r="B52" s="121"/>
      <c r="C52" s="122">
        <f>SUM(C39:C51)</f>
        <v>774140.77000000014</v>
      </c>
      <c r="D52" s="122">
        <f t="shared" ref="D52:E52" si="14">SUM(D39:D51)</f>
        <v>612928.09427309386</v>
      </c>
      <c r="E52" s="122">
        <f t="shared" si="14"/>
        <v>161212.67572690634</v>
      </c>
      <c r="F52" s="116"/>
      <c r="G52" s="112"/>
      <c r="I52" s="109"/>
    </row>
    <row r="53" spans="1:9" x14ac:dyDescent="0.3">
      <c r="A53" s="108"/>
      <c r="B53" s="106"/>
      <c r="C53" s="112"/>
      <c r="D53" s="112"/>
      <c r="E53" s="112"/>
      <c r="F53" s="116"/>
      <c r="G53" s="112"/>
      <c r="I53" s="109"/>
    </row>
    <row r="54" spans="1:9" x14ac:dyDescent="0.3">
      <c r="A54" s="108">
        <v>31</v>
      </c>
      <c r="B54" s="106">
        <f>G51</f>
        <v>335478.13955311029</v>
      </c>
      <c r="C54" s="112">
        <f t="shared" si="11"/>
        <v>59549.29</v>
      </c>
      <c r="D54" s="112">
        <f t="shared" si="5"/>
        <v>53408.494760206158</v>
      </c>
      <c r="E54" s="112">
        <f t="shared" si="12"/>
        <v>6140.7952397938425</v>
      </c>
      <c r="F54" s="116">
        <f t="shared" si="13"/>
        <v>0.21965527463484744</v>
      </c>
      <c r="G54" s="112">
        <f t="shared" si="3"/>
        <v>282069.64479290415</v>
      </c>
    </row>
    <row r="55" spans="1:9" x14ac:dyDescent="0.3">
      <c r="A55" s="108">
        <v>32</v>
      </c>
      <c r="B55" s="106">
        <f t="shared" si="4"/>
        <v>282069.64479290415</v>
      </c>
      <c r="C55" s="112">
        <f t="shared" si="11"/>
        <v>59549.29</v>
      </c>
      <c r="D55" s="112">
        <f t="shared" si="5"/>
        <v>54386.116225571735</v>
      </c>
      <c r="E55" s="112">
        <f t="shared" si="12"/>
        <v>5163.1737744282682</v>
      </c>
      <c r="F55" s="116">
        <f t="shared" si="13"/>
        <v>0.21965527463484744</v>
      </c>
      <c r="G55" s="112">
        <f t="shared" si="3"/>
        <v>227683.52856733243</v>
      </c>
      <c r="I55" s="109"/>
    </row>
    <row r="56" spans="1:9" x14ac:dyDescent="0.3">
      <c r="A56" s="108">
        <v>33</v>
      </c>
      <c r="B56" s="106">
        <f>G55</f>
        <v>227683.52856733243</v>
      </c>
      <c r="C56" s="112">
        <f t="shared" si="11"/>
        <v>59549.29</v>
      </c>
      <c r="D56" s="112">
        <f t="shared" si="5"/>
        <v>55381.632666892619</v>
      </c>
      <c r="E56" s="112">
        <f t="shared" si="12"/>
        <v>4167.6573331073778</v>
      </c>
      <c r="F56" s="116">
        <f t="shared" si="13"/>
        <v>0.21965527463484744</v>
      </c>
      <c r="G56" s="112">
        <f t="shared" si="3"/>
        <v>172301.89590043982</v>
      </c>
      <c r="I56" s="109"/>
    </row>
    <row r="57" spans="1:9" x14ac:dyDescent="0.3">
      <c r="A57" s="108">
        <v>34</v>
      </c>
      <c r="B57" s="106">
        <f>G56</f>
        <v>172301.89590043982</v>
      </c>
      <c r="C57" s="112">
        <f t="shared" si="11"/>
        <v>59549.29</v>
      </c>
      <c r="D57" s="112">
        <f t="shared" si="5"/>
        <v>56395.371644657003</v>
      </c>
      <c r="E57" s="112">
        <f t="shared" si="12"/>
        <v>3153.9183553429998</v>
      </c>
      <c r="F57" s="116">
        <f t="shared" si="13"/>
        <v>0.21965527463484744</v>
      </c>
      <c r="G57" s="112">
        <f t="shared" si="3"/>
        <v>115906.52425578282</v>
      </c>
      <c r="I57" s="109"/>
    </row>
    <row r="58" spans="1:9" x14ac:dyDescent="0.3">
      <c r="A58" s="108">
        <v>35</v>
      </c>
      <c r="B58" s="106">
        <f>G57</f>
        <v>115906.52425578282</v>
      </c>
      <c r="C58" s="112">
        <f>$D$10</f>
        <v>59549.29</v>
      </c>
      <c r="D58" s="112">
        <f t="shared" si="5"/>
        <v>57427.666715218787</v>
      </c>
      <c r="E58" s="112">
        <f>B58*$D$12/12</f>
        <v>2121.6232847812148</v>
      </c>
      <c r="F58" s="116">
        <f>$D$12</f>
        <v>0.21965527463484744</v>
      </c>
      <c r="G58" s="112">
        <f t="shared" si="3"/>
        <v>58478.857540564029</v>
      </c>
      <c r="I58" s="124"/>
    </row>
    <row r="59" spans="1:9" x14ac:dyDescent="0.3">
      <c r="A59" s="108">
        <v>36</v>
      </c>
      <c r="B59" s="106">
        <f t="shared" si="4"/>
        <v>58478.857540564029</v>
      </c>
      <c r="C59" s="112">
        <f t="shared" ref="C59" si="15">$D$10</f>
        <v>59549.29</v>
      </c>
      <c r="D59" s="112">
        <f t="shared" si="5"/>
        <v>58478.857540549609</v>
      </c>
      <c r="E59" s="112">
        <f t="shared" ref="E59" si="16">B59*$D$12/12</f>
        <v>1070.4324594503926</v>
      </c>
      <c r="F59" s="116">
        <f t="shared" ref="F59" si="17">$D$12</f>
        <v>0.21965527463484744</v>
      </c>
      <c r="G59" s="112">
        <f t="shared" si="3"/>
        <v>1.442094799131155E-8</v>
      </c>
      <c r="I59" s="109"/>
    </row>
    <row r="60" spans="1:9" x14ac:dyDescent="0.3">
      <c r="A60" s="109" t="s">
        <v>173</v>
      </c>
      <c r="B60" s="121"/>
      <c r="C60" s="122">
        <f>SUM(C54:C59)</f>
        <v>357295.74</v>
      </c>
      <c r="D60" s="122">
        <f t="shared" ref="D60:E60" si="18">SUM(D54:D59)</f>
        <v>335478.13955309591</v>
      </c>
      <c r="E60" s="122">
        <f t="shared" si="18"/>
        <v>21817.600446904096</v>
      </c>
      <c r="F60" s="116"/>
      <c r="G60" s="112"/>
      <c r="I60" s="109"/>
    </row>
    <row r="61" spans="1:9" x14ac:dyDescent="0.3">
      <c r="A61" s="108"/>
      <c r="B61" s="106"/>
      <c r="C61" s="112"/>
      <c r="D61" s="112"/>
      <c r="E61" s="112"/>
      <c r="F61" s="116"/>
      <c r="G61" s="112"/>
      <c r="I61" s="125"/>
    </row>
    <row r="62" spans="1:9" ht="14.5" thickBot="1" x14ac:dyDescent="0.35">
      <c r="A62" s="109" t="s">
        <v>166</v>
      </c>
      <c r="B62" s="106"/>
      <c r="C62" s="126">
        <f>SUM(C24+C37+C52+C60)</f>
        <v>2143774.4400000004</v>
      </c>
      <c r="D62" s="126">
        <f t="shared" ref="D62:E62" si="19">SUM(D24+D37+D52+D60)</f>
        <v>1559999.9999999858</v>
      </c>
      <c r="E62" s="126">
        <f t="shared" si="19"/>
        <v>583774.44000001438</v>
      </c>
      <c r="F62" s="108"/>
    </row>
    <row r="63" spans="1:9" ht="14.5" thickTop="1" x14ac:dyDescent="0.3">
      <c r="A63" s="108"/>
      <c r="B63" s="106"/>
      <c r="D63" s="95"/>
      <c r="E63" s="95"/>
      <c r="F63" s="108"/>
    </row>
    <row r="64" spans="1:9" x14ac:dyDescent="0.3">
      <c r="A64" s="108"/>
      <c r="B64" s="106"/>
      <c r="D64" s="95"/>
      <c r="E64" s="95"/>
      <c r="F64" s="108"/>
    </row>
    <row r="65" spans="1:6" x14ac:dyDescent="0.3">
      <c r="A65" s="108"/>
      <c r="D65" s="117"/>
      <c r="E65" s="95"/>
      <c r="F65" s="108"/>
    </row>
    <row r="66" spans="1:6" x14ac:dyDescent="0.3">
      <c r="A66" s="108"/>
      <c r="D66" s="95"/>
      <c r="E66" s="95"/>
      <c r="F66" s="108"/>
    </row>
    <row r="67" spans="1:6" x14ac:dyDescent="0.3">
      <c r="A67" s="108"/>
      <c r="D67" s="95"/>
      <c r="E67" s="95"/>
      <c r="F67" s="108"/>
    </row>
    <row r="68" spans="1:6" x14ac:dyDescent="0.3">
      <c r="A68" s="108"/>
    </row>
    <row r="69" spans="1:6" x14ac:dyDescent="0.3">
      <c r="A69" s="108"/>
    </row>
    <row r="70" spans="1:6" x14ac:dyDescent="0.3">
      <c r="A70" s="108"/>
    </row>
    <row r="71" spans="1:6" x14ac:dyDescent="0.3">
      <c r="A71" s="108"/>
    </row>
    <row r="72" spans="1:6" x14ac:dyDescent="0.3">
      <c r="A72" s="108"/>
    </row>
    <row r="73" spans="1:6" x14ac:dyDescent="0.3">
      <c r="A73" s="108"/>
    </row>
    <row r="74" spans="1:6" x14ac:dyDescent="0.3">
      <c r="A74" s="108"/>
    </row>
    <row r="75" spans="1:6" x14ac:dyDescent="0.3">
      <c r="A75" s="108"/>
    </row>
    <row r="76" spans="1:6" x14ac:dyDescent="0.3">
      <c r="A76" s="108"/>
    </row>
  </sheetData>
  <mergeCells count="7">
    <mergeCell ref="F15:F16"/>
    <mergeCell ref="G15:G16"/>
    <mergeCell ref="A15:A16"/>
    <mergeCell ref="B15:B16"/>
    <mergeCell ref="C15:C16"/>
    <mergeCell ref="D15:D16"/>
    <mergeCell ref="E15:E16"/>
  </mergeCells>
  <pageMargins left="1" right="0.25" top="0.8" bottom="0.25" header="0.31" footer="0.3"/>
  <pageSetup paperSize="9" scale="5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
  <sheetViews>
    <sheetView workbookViewId="0">
      <selection activeCell="C13" sqref="C13"/>
    </sheetView>
  </sheetViews>
  <sheetFormatPr defaultColWidth="9.1796875" defaultRowHeight="14" x14ac:dyDescent="0.3"/>
  <cols>
    <col min="1" max="1" width="18.54296875" style="4" customWidth="1"/>
    <col min="2" max="2" width="13.81640625" style="4" customWidth="1"/>
    <col min="3" max="3" width="15" style="4" customWidth="1"/>
    <col min="4" max="4" width="16.81640625" style="4" customWidth="1"/>
    <col min="5" max="5" width="12.453125" style="4" customWidth="1"/>
    <col min="6" max="6" width="12.81640625" style="4" customWidth="1"/>
    <col min="7" max="7" width="14.81640625" style="4" customWidth="1"/>
    <col min="8" max="16384" width="9.1796875" style="4"/>
  </cols>
  <sheetData>
    <row r="1" spans="1:9" ht="22.5" x14ac:dyDescent="0.3">
      <c r="A1" s="94" t="s">
        <v>0</v>
      </c>
      <c r="G1" s="99" t="s">
        <v>195</v>
      </c>
    </row>
    <row r="3" spans="1:9" x14ac:dyDescent="0.3">
      <c r="A3" s="9" t="s">
        <v>91</v>
      </c>
      <c r="G3" s="72" t="s">
        <v>116</v>
      </c>
      <c r="H3" s="9"/>
      <c r="I3" s="9"/>
    </row>
    <row r="4" spans="1:9" x14ac:dyDescent="0.3">
      <c r="A4" s="9" t="s">
        <v>127</v>
      </c>
    </row>
    <row r="5" spans="1:9" x14ac:dyDescent="0.3">
      <c r="A5" s="9"/>
    </row>
    <row r="6" spans="1:9" x14ac:dyDescent="0.3">
      <c r="A6" s="9" t="s">
        <v>52</v>
      </c>
    </row>
    <row r="8" spans="1:9" s="62" customFormat="1" ht="58.5" customHeight="1" x14ac:dyDescent="0.3">
      <c r="A8" s="71" t="s">
        <v>117</v>
      </c>
      <c r="B8" s="71" t="s">
        <v>118</v>
      </c>
      <c r="C8" s="71" t="s">
        <v>144</v>
      </c>
      <c r="D8" s="71" t="s">
        <v>119</v>
      </c>
      <c r="E8" s="71" t="s">
        <v>140</v>
      </c>
      <c r="F8" s="71" t="s">
        <v>120</v>
      </c>
      <c r="G8" s="71" t="s">
        <v>154</v>
      </c>
    </row>
    <row r="9" spans="1:9" ht="25" customHeight="1" x14ac:dyDescent="0.3">
      <c r="A9" s="47"/>
      <c r="B9" s="47"/>
      <c r="C9" s="47"/>
      <c r="D9" s="47"/>
      <c r="E9" s="47"/>
      <c r="F9" s="47"/>
      <c r="G9" s="47"/>
    </row>
    <row r="10" spans="1:9" ht="25" customHeight="1" x14ac:dyDescent="0.3">
      <c r="A10" s="47"/>
      <c r="B10" s="47"/>
      <c r="C10" s="47"/>
      <c r="D10" s="47"/>
      <c r="E10" s="47"/>
      <c r="F10" s="47"/>
      <c r="G10" s="47"/>
    </row>
  </sheetData>
  <pageMargins left="1" right="0.38" top="0.8" bottom="0.75" header="0.3" footer="0.3"/>
  <pageSetup paperSize="9" scale="84"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1"/>
  <sheetViews>
    <sheetView workbookViewId="0">
      <selection activeCell="D3" sqref="D3"/>
    </sheetView>
  </sheetViews>
  <sheetFormatPr defaultColWidth="9.1796875" defaultRowHeight="14" x14ac:dyDescent="0.3"/>
  <cols>
    <col min="1" max="1" width="32" style="4" customWidth="1"/>
    <col min="2" max="2" width="12.81640625" style="4" customWidth="1"/>
    <col min="3" max="3" width="14.1796875" style="4" customWidth="1"/>
    <col min="4" max="4" width="15" style="4" customWidth="1"/>
    <col min="5" max="5" width="16.81640625" style="4" customWidth="1"/>
    <col min="6" max="6" width="20" style="4" customWidth="1"/>
    <col min="7" max="7" width="26.7265625" style="4" customWidth="1"/>
    <col min="8" max="8" width="22.453125" style="4" customWidth="1"/>
    <col min="9" max="16384" width="9.1796875" style="4"/>
  </cols>
  <sheetData>
    <row r="1" spans="1:10" ht="22.5" x14ac:dyDescent="0.3">
      <c r="A1" s="94" t="s">
        <v>0</v>
      </c>
      <c r="H1" s="99" t="s">
        <v>195</v>
      </c>
    </row>
    <row r="3" spans="1:10" x14ac:dyDescent="0.3">
      <c r="A3" s="9" t="s">
        <v>91</v>
      </c>
      <c r="H3" s="72" t="s">
        <v>111</v>
      </c>
      <c r="I3" s="9"/>
      <c r="J3" s="9"/>
    </row>
    <row r="4" spans="1:10" x14ac:dyDescent="0.3">
      <c r="A4" s="9" t="s">
        <v>127</v>
      </c>
    </row>
    <row r="6" spans="1:10" x14ac:dyDescent="0.3">
      <c r="A6" s="9" t="s">
        <v>113</v>
      </c>
    </row>
    <row r="8" spans="1:10" s="85" customFormat="1" ht="72" customHeight="1" x14ac:dyDescent="0.3">
      <c r="A8" s="71" t="s">
        <v>98</v>
      </c>
      <c r="B8" s="71" t="s">
        <v>92</v>
      </c>
      <c r="C8" s="71" t="s">
        <v>155</v>
      </c>
      <c r="D8" s="71" t="s">
        <v>112</v>
      </c>
      <c r="E8" s="71" t="s">
        <v>114</v>
      </c>
      <c r="F8" s="71" t="s">
        <v>182</v>
      </c>
      <c r="G8" s="71" t="s">
        <v>115</v>
      </c>
      <c r="H8" s="71" t="s">
        <v>156</v>
      </c>
    </row>
    <row r="9" spans="1:10" ht="25" customHeight="1" x14ac:dyDescent="0.3">
      <c r="A9" s="47"/>
      <c r="B9" s="47"/>
      <c r="C9" s="47"/>
      <c r="D9" s="63"/>
      <c r="E9" s="146"/>
      <c r="F9" s="147"/>
      <c r="G9" s="24"/>
      <c r="H9" s="147"/>
    </row>
    <row r="10" spans="1:10" ht="25" customHeight="1" x14ac:dyDescent="0.3">
      <c r="A10" s="47"/>
      <c r="B10" s="47"/>
      <c r="C10" s="47"/>
      <c r="D10" s="47"/>
      <c r="E10" s="146"/>
      <c r="F10" s="147"/>
      <c r="G10" s="24"/>
      <c r="H10" s="147"/>
    </row>
    <row r="11" spans="1:10" ht="25" customHeight="1" x14ac:dyDescent="0.3">
      <c r="A11" s="47"/>
      <c r="B11" s="47"/>
      <c r="C11" s="47"/>
      <c r="D11" s="47"/>
      <c r="E11" s="47"/>
      <c r="F11" s="47"/>
      <c r="G11" s="47"/>
      <c r="H11" s="47"/>
    </row>
  </sheetData>
  <pageMargins left="0.25" right="0.75" top="1" bottom="0.25" header="0.3" footer="0.3"/>
  <pageSetup paperSize="9"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Audit Program - M</vt:lpstr>
      <vt:lpstr>Front</vt:lpstr>
      <vt:lpstr>M 2</vt:lpstr>
      <vt:lpstr>N5</vt:lpstr>
      <vt:lpstr>M4</vt:lpstr>
      <vt:lpstr>M 4.1</vt:lpstr>
      <vt:lpstr>M 5</vt:lpstr>
      <vt:lpstr>M 6</vt:lpstr>
      <vt:lpstr>Front!Print_Area</vt:lpstr>
      <vt:lpstr>'N5'!Print_Area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Kowshika</dc:creator>
  <cp:lastModifiedBy>Muhammed</cp:lastModifiedBy>
  <cp:lastPrinted>2023-02-01T05:45:29Z</cp:lastPrinted>
  <dcterms:created xsi:type="dcterms:W3CDTF">2018-08-15T06:41:22Z</dcterms:created>
  <dcterms:modified xsi:type="dcterms:W3CDTF">2024-12-21T08:21:57Z</dcterms:modified>
</cp:coreProperties>
</file>