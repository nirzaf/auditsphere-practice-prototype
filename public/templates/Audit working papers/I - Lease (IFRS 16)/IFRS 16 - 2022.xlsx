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shad\Desktop\ASD - Ansari\02 - Audit Files 2023\20 - Gulf Crown 2023\03. Working Papers\M - Lease (IFRS 16)\"/>
    </mc:Choice>
  </mc:AlternateContent>
  <xr:revisionPtr revIDLastSave="0" documentId="13_ncr:1_{BD644840-6D09-4F05-8291-081D26B424BA}" xr6:coauthVersionLast="47" xr6:coauthVersionMax="47" xr10:uidLastSave="{00000000-0000-0000-0000-000000000000}"/>
  <bookViews>
    <workbookView xWindow="-120" yWindow="-120" windowWidth="20730" windowHeight="11280" activeTab="2" xr2:uid="{00000000-000D-0000-FFFF-FFFF00000000}"/>
  </bookViews>
  <sheets>
    <sheet name="Summary" sheetId="4" r:id="rId1"/>
    <sheet name="01" sheetId="1" state="hidden" r:id="rId2"/>
    <sheet name="01 (2)" sheetId="6" r:id="rId3"/>
    <sheet name="JE" sheetId="3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__________________Tax1">#REF!</definedName>
    <definedName name="___________________Tax1">#REF!</definedName>
    <definedName name="__________________Tax1">#REF!</definedName>
    <definedName name="_________________Tax1" localSheetId="3">#REF!</definedName>
    <definedName name="_________________Tax1" localSheetId="0">#REF!</definedName>
    <definedName name="_________________Tax1">#REF!</definedName>
    <definedName name="________________Tax1" localSheetId="3">#REF!</definedName>
    <definedName name="________________Tax1" localSheetId="0">#REF!</definedName>
    <definedName name="________________Tax1">#REF!</definedName>
    <definedName name="_______________A99999">#REF!</definedName>
    <definedName name="_______________C99999">#REF!</definedName>
    <definedName name="_______________Tax1" localSheetId="3">#REF!</definedName>
    <definedName name="_______________Tax1" localSheetId="0">#REF!</definedName>
    <definedName name="_______________Tax1">#REF!</definedName>
    <definedName name="______________A99999">#REF!</definedName>
    <definedName name="______________C99999">#REF!</definedName>
    <definedName name="______________Tax1">#REF!</definedName>
    <definedName name="_____________A99999">#REF!</definedName>
    <definedName name="_____________C99999">#REF!</definedName>
    <definedName name="_____________Tax1">#REF!</definedName>
    <definedName name="____________A99999">#REF!</definedName>
    <definedName name="____________C99999">#REF!</definedName>
    <definedName name="____________Tax1">#REF!</definedName>
    <definedName name="___________A99999">#REF!</definedName>
    <definedName name="___________C99999">#REF!</definedName>
    <definedName name="___________Tax1">#REF!</definedName>
    <definedName name="__________A99999">#REF!</definedName>
    <definedName name="__________C99999">#REF!</definedName>
    <definedName name="__________Tax1">#REF!</definedName>
    <definedName name="_________A99999">#REF!</definedName>
    <definedName name="_________C99999">#REF!</definedName>
    <definedName name="_________Tax1">#REF!</definedName>
    <definedName name="________A99999">#REF!</definedName>
    <definedName name="________C99999">#REF!</definedName>
    <definedName name="________Tax1">#REF!</definedName>
    <definedName name="_______A99999">#REF!</definedName>
    <definedName name="_______C99999">#REF!</definedName>
    <definedName name="_______Tax1">#REF!</definedName>
    <definedName name="______A99999">#REF!</definedName>
    <definedName name="______C99999">#REF!</definedName>
    <definedName name="______Tax1">#REF!</definedName>
    <definedName name="_____A99999">#REF!</definedName>
    <definedName name="_____C99999">#REF!</definedName>
    <definedName name="_____Tax1">#REF!</definedName>
    <definedName name="____A99999">#REF!</definedName>
    <definedName name="____C99999">#REF!</definedName>
    <definedName name="____Tax1">#REF!</definedName>
    <definedName name="___A99999">#REF!</definedName>
    <definedName name="___C99999">#REF!</definedName>
    <definedName name="___Tax1">#REF!</definedName>
    <definedName name="__123Graph_E" localSheetId="3" hidden="1">'[1]D.Note-HO-B.Anne'!$H$28:$H$37</definedName>
    <definedName name="__123Graph_E" localSheetId="0" hidden="1">'[1]D.Note-HO-B.Anne'!$H$28:$H$37</definedName>
    <definedName name="__123Graph_E" hidden="1">'[2]D.Note-HO-B.Anne'!$H$28:$H$37</definedName>
    <definedName name="__123Graph_X" localSheetId="3" hidden="1">'[1]D.Note-HO-B.Anne'!$A$28:$A$34</definedName>
    <definedName name="__123Graph_X" localSheetId="0" hidden="1">'[1]D.Note-HO-B.Anne'!$A$28:$A$34</definedName>
    <definedName name="__123Graph_X" hidden="1">'[2]D.Note-HO-B.Anne'!$A$28:$A$34</definedName>
    <definedName name="__A99999">#REF!</definedName>
    <definedName name="__C99999">#REF!</definedName>
    <definedName name="__Tax1">#REF!</definedName>
    <definedName name="__xlnm.Print_Titles_3">([3]L1!$A:$A,[3]L1!$1:$1)</definedName>
    <definedName name="_A99999" localSheetId="3">#REF!</definedName>
    <definedName name="_A99999" localSheetId="0">#REF!</definedName>
    <definedName name="_A99999">#REF!</definedName>
    <definedName name="_C99999" localSheetId="3">#REF!</definedName>
    <definedName name="_C99999" localSheetId="0">#REF!</definedName>
    <definedName name="_C99999">#REF!</definedName>
    <definedName name="_Fill" localSheetId="3" hidden="1">#REF!</definedName>
    <definedName name="_Fill" localSheetId="0" hidden="1">#REF!</definedName>
    <definedName name="_Fill" hidden="1">#REF!</definedName>
    <definedName name="_Order1" hidden="1">255</definedName>
    <definedName name="_Tax1">#REF!</definedName>
    <definedName name="a">#REF!</definedName>
    <definedName name="aaaaa">#REF!</definedName>
    <definedName name="abc">#REF!</definedName>
    <definedName name="abcd">#REF!</definedName>
    <definedName name="ARA_Threshold">#REF!</definedName>
    <definedName name="ARP_Threshold">#REF!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B" localSheetId="3">#REF!</definedName>
    <definedName name="B" localSheetId="0">#REF!</definedName>
    <definedName name="B">#REF!</definedName>
    <definedName name="BG_Del" hidden="1">15</definedName>
    <definedName name="BG_Ins" hidden="1">4</definedName>
    <definedName name="BG_Mod" hidden="1">6</definedName>
    <definedName name="C.Bal_Inventory" localSheetId="3">[4]Invtry1!#REF!</definedName>
    <definedName name="C.Bal_Inventory" localSheetId="0">[4]Invtry1!#REF!</definedName>
    <definedName name="C.Bal_Inventory">[5]Invtry1!#REF!</definedName>
    <definedName name="_xlnm.Database">[6]Master!$B$3</definedName>
    <definedName name="DAYS_MTD">[6]Lookup!$D$15</definedName>
    <definedName name="DAYS_TOTAL">[6]Lookup!$D$16</definedName>
    <definedName name="dddd" localSheetId="3">!#REF!</definedName>
    <definedName name="dddd" localSheetId="0">!#REF!</definedName>
    <definedName name="dddd">#REF!</definedName>
    <definedName name="fff" localSheetId="3">#REF!</definedName>
    <definedName name="fff" localSheetId="0">#REF!</definedName>
    <definedName name="fff">#REF!</definedName>
    <definedName name="GD" localSheetId="3">#REF!</definedName>
    <definedName name="GD" localSheetId="0">#REF!</definedName>
    <definedName name="GD">#REF!</definedName>
    <definedName name="GDCUMUL" localSheetId="3">#REF!</definedName>
    <definedName name="GDCUMUL" localSheetId="0">#REF!</definedName>
    <definedName name="GDCUMUL">#REF!</definedName>
    <definedName name="hkjnkjjjkkj">!#REF!</definedName>
    <definedName name="kjhg" localSheetId="3">!#REF!</definedName>
    <definedName name="kjhg" localSheetId="0">!#REF!</definedName>
    <definedName name="kjhg">#REF!</definedName>
    <definedName name="lt" localSheetId="3">[7]bs!#REF!</definedName>
    <definedName name="lt" localSheetId="0">[7]bs!#REF!</definedName>
    <definedName name="lt">[8]bs!#REF!</definedName>
    <definedName name="mhbjjnkkjnjmnjlui">!#REF!</definedName>
    <definedName name="notes" localSheetId="3">#REF!</definedName>
    <definedName name="notes" localSheetId="0">#REF!</definedName>
    <definedName name="notes">#REF!</definedName>
    <definedName name="_xlnm.Print_Area" localSheetId="1">'01'!$A$1:$Q$76</definedName>
    <definedName name="_xlnm.Print_Area" localSheetId="2">'01 (2)'!$A$1:$N$106</definedName>
    <definedName name="_xlnm.Print_Area" localSheetId="0">Summary!$A$1:$O$35</definedName>
    <definedName name="_xlnm.Print_Area">[9]SERVICE!$A$2:$K$32</definedName>
    <definedName name="Print_Area_MI" localSheetId="3">#REF!</definedName>
    <definedName name="Print_Area_MI" localSheetId="0">#REF!</definedName>
    <definedName name="Print_Area_MI">#REF!</definedName>
    <definedName name="_xlnm.Print_Titles">#N/A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a">#REF!</definedName>
    <definedName name="TextRefCopy1">'[10]Revenue 2014'!$B$5</definedName>
    <definedName name="TextRefCopy10">'[11]Revenue 2014'!#REF!</definedName>
    <definedName name="TextRefCopy11">'[11]Revenue 2014'!#REF!</definedName>
    <definedName name="TextRefCopy12">'[11]Revenue 2014'!#REF!</definedName>
    <definedName name="TextRefCopy13">'[11]Revenue 2014'!#REF!</definedName>
    <definedName name="TextRefCopy14">'[10]Revenue 2014'!#REF!</definedName>
    <definedName name="TextRefCopy15">'[11]Revenue 2014'!#REF!</definedName>
    <definedName name="TextRefCopy16">'[10]Revenue 2014'!#REF!</definedName>
    <definedName name="TextRefCopy17">'[10]Revenue 2014'!#REF!</definedName>
    <definedName name="TextRefCopy18">'[10]Revenue 2014'!#REF!</definedName>
    <definedName name="TextRefCopy19">'[10]Revenue 2014'!#REF!</definedName>
    <definedName name="TextRefCopy2">'[10]Revenue 2014'!$B$5</definedName>
    <definedName name="TextRefCopy20">'[11]Revenue 2014'!#REF!</definedName>
    <definedName name="TextRefCopy21">'[11]Revenue 2014'!#REF!</definedName>
    <definedName name="TextRefCopy22">'[11]Revenue 2014'!$N$8</definedName>
    <definedName name="TextRefCopy23">'[11]Revenue 2014'!$N$9</definedName>
    <definedName name="TextRefCopy24">'[11]Revenue 2014'!#REF!</definedName>
    <definedName name="TextRefCopy25">'[11]Revenue 2014'!#REF!</definedName>
    <definedName name="TextRefCopy26">'[11]Revenue 2014'!$N$10</definedName>
    <definedName name="TextRefCopy27">'[11]Revenue 2014'!#REF!</definedName>
    <definedName name="TextRefCopy28">'[11]Revenue 2014'!$N$14</definedName>
    <definedName name="TextRefCopy29">'[11]Revenue 2014'!$N$11</definedName>
    <definedName name="TextRefCopy3">'[11]Revenue 2014'!#REF!</definedName>
    <definedName name="TextRefCopy30">'[11]Revenue 2014'!#REF!</definedName>
    <definedName name="TextRefCopy31">'[11]Revenue 2014'!#REF!</definedName>
    <definedName name="TextRefCopy32">'[11]Revenue 2014'!#REF!</definedName>
    <definedName name="TextRefCopy33">'[11]Revenue 2014'!#REF!</definedName>
    <definedName name="TextRefCopy34">'[11]Revenue 2014'!#REF!</definedName>
    <definedName name="TextRefCopy35">'[11]Revenue 2014'!$N$12</definedName>
    <definedName name="TextRefCopy36">'[11]Revenue 2014'!$N$13</definedName>
    <definedName name="TextRefCopy37">'[11]Revenue 2014'!#REF!</definedName>
    <definedName name="TextRefCopy38">'[11]Revenue 2014'!#REF!</definedName>
    <definedName name="TextRefCopy39">'[11]Revenue 2014'!#REF!</definedName>
    <definedName name="TextRefCopy4">'[11]Revenue 2014'!#REF!</definedName>
    <definedName name="TextRefCopy40">'[11]Revenue 2014'!#REF!</definedName>
    <definedName name="TextRefCopy41">'[11]Revenue 2014'!#REF!</definedName>
    <definedName name="TextRefCopy42">'[11]Revenue 2014'!#REF!</definedName>
    <definedName name="TextRefCopy43">'[11]Revenue 2014'!#REF!</definedName>
    <definedName name="TextRefCopy44">'[11]Revenue 2014'!#REF!</definedName>
    <definedName name="TextRefCopy45">'[11]Revenue 2014'!#REF!</definedName>
    <definedName name="TextRefCopy5">'[11]Revenue 2014'!#REF!</definedName>
    <definedName name="TextRefCopy6">'[11]Revenue 2014'!#REF!</definedName>
    <definedName name="TextRefCopy7">'[10]Revenue 2014'!#REF!</definedName>
    <definedName name="TextRefCopy8">'[10]Revenue 2014'!#REF!</definedName>
    <definedName name="TextRefCopy9">'[11]Revenue 2014'!#REF!</definedName>
    <definedName name="TextRefCopyRangeCount" hidden="1">45</definedName>
    <definedName name="TOTALGDMER" localSheetId="3">#REF!</definedName>
    <definedName name="TOTALGDMER" localSheetId="0">#REF!</definedName>
    <definedName name="TOTALGDMER">#REF!</definedName>
    <definedName name="TOTALGDMERCUMUL" localSheetId="3">#REF!</definedName>
    <definedName name="TOTALGDMERCUMUL" localSheetId="0">#REF!</definedName>
    <definedName name="TOTALGDMERCUMUL">#REF!</definedName>
    <definedName name="xxx">#REF!</definedName>
    <definedName name="ش50" localSheetId="3">#REF!</definedName>
    <definedName name="ش50" localSheetId="0">#REF!</definedName>
    <definedName name="ش50">#REF!</definedName>
    <definedName name="써비스내역">[12]SERVICE!$A$2:$K$32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3" i="6" l="1"/>
  <c r="K47" i="6"/>
  <c r="L37" i="6"/>
  <c r="L43" i="6"/>
  <c r="K43" i="6"/>
  <c r="I44" i="6"/>
  <c r="I47" i="6"/>
  <c r="E43" i="6"/>
  <c r="F44" i="6"/>
  <c r="D7" i="3"/>
  <c r="I11" i="4" l="1"/>
  <c r="L11" i="4"/>
  <c r="E10" i="6"/>
  <c r="N6" i="4" l="1"/>
  <c r="N11" i="4" s="1"/>
  <c r="E71" i="6"/>
  <c r="F71" i="6" s="1"/>
  <c r="E72" i="6"/>
  <c r="F72" i="6" s="1"/>
  <c r="E73" i="6"/>
  <c r="F73" i="6" s="1"/>
  <c r="E74" i="6"/>
  <c r="F74" i="6" s="1"/>
  <c r="E75" i="6"/>
  <c r="F75" i="6" s="1"/>
  <c r="E76" i="6"/>
  <c r="F76" i="6" s="1"/>
  <c r="E77" i="6"/>
  <c r="F77" i="6" s="1"/>
  <c r="E78" i="6"/>
  <c r="F78" i="6" s="1"/>
  <c r="E79" i="6"/>
  <c r="F79" i="6" s="1"/>
  <c r="E80" i="6"/>
  <c r="F80" i="6" s="1"/>
  <c r="E81" i="6"/>
  <c r="F81" i="6" s="1"/>
  <c r="E82" i="6"/>
  <c r="F82" i="6" s="1"/>
  <c r="E83" i="6"/>
  <c r="F83" i="6" s="1"/>
  <c r="E84" i="6"/>
  <c r="F84" i="6" s="1"/>
  <c r="E85" i="6"/>
  <c r="F85" i="6" s="1"/>
  <c r="E86" i="6"/>
  <c r="F86" i="6" s="1"/>
  <c r="E87" i="6"/>
  <c r="F87" i="6" s="1"/>
  <c r="E88" i="6"/>
  <c r="F88" i="6" s="1"/>
  <c r="E89" i="6"/>
  <c r="F89" i="6" s="1"/>
  <c r="E90" i="6"/>
  <c r="F90" i="6" s="1"/>
  <c r="E91" i="6"/>
  <c r="F91" i="6" s="1"/>
  <c r="E92" i="6"/>
  <c r="F92" i="6" s="1"/>
  <c r="E93" i="6"/>
  <c r="F93" i="6" s="1"/>
  <c r="E94" i="6"/>
  <c r="F94" i="6" s="1"/>
  <c r="E95" i="6"/>
  <c r="F95" i="6" s="1"/>
  <c r="E96" i="6"/>
  <c r="F96" i="6" s="1"/>
  <c r="E97" i="6"/>
  <c r="F97" i="6" s="1"/>
  <c r="E98" i="6"/>
  <c r="F98" i="6" s="1"/>
  <c r="E99" i="6"/>
  <c r="F99" i="6" s="1"/>
  <c r="E100" i="6"/>
  <c r="F100" i="6" s="1"/>
  <c r="E101" i="6"/>
  <c r="F101" i="6" s="1"/>
  <c r="E102" i="6"/>
  <c r="F102" i="6" s="1"/>
  <c r="E103" i="6"/>
  <c r="F103" i="6" s="1"/>
  <c r="E104" i="6"/>
  <c r="F104" i="6" s="1"/>
  <c r="G105" i="6"/>
  <c r="D105" i="6"/>
  <c r="E70" i="6"/>
  <c r="F70" i="6" s="1"/>
  <c r="E69" i="6"/>
  <c r="F69" i="6" s="1"/>
  <c r="E68" i="6"/>
  <c r="F68" i="6" s="1"/>
  <c r="E67" i="6"/>
  <c r="F67" i="6" s="1"/>
  <c r="E66" i="6"/>
  <c r="F66" i="6" s="1"/>
  <c r="E65" i="6"/>
  <c r="F65" i="6" s="1"/>
  <c r="E64" i="6"/>
  <c r="F64" i="6" s="1"/>
  <c r="E63" i="6"/>
  <c r="F63" i="6" s="1"/>
  <c r="E62" i="6"/>
  <c r="F62" i="6" s="1"/>
  <c r="E61" i="6"/>
  <c r="F61" i="6" s="1"/>
  <c r="E60" i="6"/>
  <c r="F60" i="6" s="1"/>
  <c r="E59" i="6"/>
  <c r="F59" i="6" s="1"/>
  <c r="E58" i="6"/>
  <c r="F58" i="6" s="1"/>
  <c r="E57" i="6"/>
  <c r="F57" i="6" s="1"/>
  <c r="E56" i="6"/>
  <c r="F56" i="6" s="1"/>
  <c r="E55" i="6"/>
  <c r="F55" i="6" s="1"/>
  <c r="E54" i="6"/>
  <c r="F54" i="6" s="1"/>
  <c r="E53" i="6"/>
  <c r="F53" i="6" s="1"/>
  <c r="E52" i="6"/>
  <c r="F52" i="6" s="1"/>
  <c r="E51" i="6"/>
  <c r="F51" i="6" s="1"/>
  <c r="E50" i="6"/>
  <c r="F50" i="6" s="1"/>
  <c r="E49" i="6"/>
  <c r="F49" i="6" s="1"/>
  <c r="E48" i="6"/>
  <c r="F48" i="6" s="1"/>
  <c r="E47" i="6"/>
  <c r="F47" i="6" s="1"/>
  <c r="E46" i="6"/>
  <c r="F46" i="6" s="1"/>
  <c r="E45" i="6"/>
  <c r="F45" i="6" s="1"/>
  <c r="E44" i="6"/>
  <c r="F43" i="6"/>
  <c r="R12" i="6" l="1"/>
  <c r="F105" i="6"/>
  <c r="F25" i="6" s="1"/>
  <c r="F35" i="6" s="1"/>
  <c r="L25" i="6" s="1"/>
  <c r="L35" i="6" s="1"/>
  <c r="T13" i="6" l="1"/>
  <c r="H42" i="6"/>
  <c r="K42" i="6" l="1"/>
  <c r="D6" i="6"/>
  <c r="I43" i="6"/>
  <c r="E6" i="4" l="1"/>
  <c r="E11" i="4" s="1"/>
  <c r="H43" i="6"/>
  <c r="L71" i="6"/>
  <c r="L79" i="6"/>
  <c r="L87" i="6"/>
  <c r="L95" i="6"/>
  <c r="L103" i="6"/>
  <c r="L94" i="6"/>
  <c r="L72" i="6"/>
  <c r="L80" i="6"/>
  <c r="L88" i="6"/>
  <c r="L96" i="6"/>
  <c r="L104" i="6"/>
  <c r="L102" i="6"/>
  <c r="L73" i="6"/>
  <c r="L81" i="6"/>
  <c r="L89" i="6"/>
  <c r="L97" i="6"/>
  <c r="L74" i="6"/>
  <c r="L82" i="6"/>
  <c r="L90" i="6"/>
  <c r="L98" i="6"/>
  <c r="L70" i="6"/>
  <c r="L75" i="6"/>
  <c r="L83" i="6"/>
  <c r="L91" i="6"/>
  <c r="L99" i="6"/>
  <c r="L76" i="6"/>
  <c r="L84" i="6"/>
  <c r="L92" i="6"/>
  <c r="L100" i="6"/>
  <c r="L78" i="6"/>
  <c r="L86" i="6"/>
  <c r="L77" i="6"/>
  <c r="L85" i="6"/>
  <c r="L93" i="6"/>
  <c r="L101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D5" i="6"/>
  <c r="E9" i="6" l="1"/>
  <c r="C6" i="4"/>
  <c r="C11" i="4" s="1"/>
  <c r="R5" i="6"/>
  <c r="Q4" i="6"/>
  <c r="K44" i="6"/>
  <c r="K45" i="6" s="1"/>
  <c r="K46" i="6" s="1"/>
  <c r="L105" i="6"/>
  <c r="K48" i="6" l="1"/>
  <c r="K49" i="6" s="1"/>
  <c r="K50" i="6" s="1"/>
  <c r="K51" i="6" s="1"/>
  <c r="K52" i="6" s="1"/>
  <c r="K53" i="6" s="1"/>
  <c r="K54" i="6" s="1"/>
  <c r="K55" i="6" s="1"/>
  <c r="K56" i="6" s="1"/>
  <c r="K57" i="6" s="1"/>
  <c r="K58" i="6" s="1"/>
  <c r="K59" i="6" s="1"/>
  <c r="J6" i="4"/>
  <c r="J11" i="4" s="1"/>
  <c r="Q7" i="6"/>
  <c r="R8" i="6"/>
  <c r="H44" i="6"/>
  <c r="I45" i="6" s="1"/>
  <c r="M44" i="6"/>
  <c r="K60" i="6" l="1"/>
  <c r="K61" i="6" s="1"/>
  <c r="K62" i="6" s="1"/>
  <c r="K63" i="6" s="1"/>
  <c r="K64" i="6" s="1"/>
  <c r="K65" i="6" s="1"/>
  <c r="K66" i="6" s="1"/>
  <c r="K67" i="6" s="1"/>
  <c r="K68" i="6" s="1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K84" i="6" s="1"/>
  <c r="K85" i="6" s="1"/>
  <c r="K86" i="6" s="1"/>
  <c r="K87" i="6" s="1"/>
  <c r="K88" i="6" s="1"/>
  <c r="K89" i="6" s="1"/>
  <c r="K90" i="6" s="1"/>
  <c r="K91" i="6" s="1"/>
  <c r="K92" i="6" s="1"/>
  <c r="K93" i="6" s="1"/>
  <c r="K94" i="6" s="1"/>
  <c r="K95" i="6" s="1"/>
  <c r="K96" i="6" s="1"/>
  <c r="K97" i="6" s="1"/>
  <c r="K98" i="6" s="1"/>
  <c r="K99" i="6" s="1"/>
  <c r="K100" i="6" s="1"/>
  <c r="K101" i="6" s="1"/>
  <c r="K102" i="6" s="1"/>
  <c r="K103" i="6" s="1"/>
  <c r="K104" i="6" s="1"/>
  <c r="E5" i="6"/>
  <c r="D6" i="4" s="1"/>
  <c r="D11" i="4" s="1"/>
  <c r="M45" i="6"/>
  <c r="H45" i="6"/>
  <c r="I46" i="6" l="1"/>
  <c r="H46" i="6" l="1"/>
  <c r="M46" i="6"/>
  <c r="M47" i="6" l="1"/>
  <c r="H47" i="6"/>
  <c r="I48" i="6" l="1"/>
  <c r="H48" i="6" l="1"/>
  <c r="I49" i="6" s="1"/>
  <c r="M48" i="6"/>
  <c r="M49" i="6" l="1"/>
  <c r="H49" i="6"/>
  <c r="I50" i="6" s="1"/>
  <c r="H50" i="6" s="1"/>
  <c r="I51" i="6" l="1"/>
  <c r="M51" i="6" s="1"/>
  <c r="M50" i="6"/>
  <c r="H51" i="6" l="1"/>
  <c r="I52" i="6" s="1"/>
  <c r="M52" i="6" s="1"/>
  <c r="H52" i="6" l="1"/>
  <c r="I53" i="6" s="1"/>
  <c r="M53" i="6" l="1"/>
  <c r="H53" i="6"/>
  <c r="I54" i="6" s="1"/>
  <c r="H54" i="6" s="1"/>
  <c r="I55" i="6" l="1"/>
  <c r="M55" i="6" s="1"/>
  <c r="M54" i="6"/>
  <c r="H55" i="6" l="1"/>
  <c r="I56" i="6" s="1"/>
  <c r="M56" i="6" s="1"/>
  <c r="H56" i="6" l="1"/>
  <c r="I57" i="6" s="1"/>
  <c r="M57" i="6" s="1"/>
  <c r="H57" i="6" l="1"/>
  <c r="I58" i="6" s="1"/>
  <c r="M58" i="6" s="1"/>
  <c r="H58" i="6" l="1"/>
  <c r="I59" i="6" s="1"/>
  <c r="M59" i="6" l="1"/>
  <c r="E8" i="6"/>
  <c r="H59" i="6"/>
  <c r="E6" i="6" s="1"/>
  <c r="F6" i="4" s="1"/>
  <c r="F11" i="4" s="1"/>
  <c r="Q11" i="6" l="1"/>
  <c r="Q10" i="6" s="1"/>
  <c r="K6" i="4"/>
  <c r="K11" i="4" s="1"/>
  <c r="I60" i="6"/>
  <c r="M60" i="6" s="1"/>
  <c r="H60" i="6" l="1"/>
  <c r="I61" i="6" s="1"/>
  <c r="M61" i="6" s="1"/>
  <c r="H61" i="6" l="1"/>
  <c r="I62" i="6" s="1"/>
  <c r="M62" i="6" s="1"/>
  <c r="H62" i="6" l="1"/>
  <c r="I63" i="6" s="1"/>
  <c r="M63" i="6" s="1"/>
  <c r="H63" i="6" l="1"/>
  <c r="I64" i="6" s="1"/>
  <c r="M64" i="6" s="1"/>
  <c r="H64" i="6" l="1"/>
  <c r="I65" i="6" s="1"/>
  <c r="M65" i="6" s="1"/>
  <c r="H65" i="6" l="1"/>
  <c r="I66" i="6" s="1"/>
  <c r="M66" i="6" s="1"/>
  <c r="H66" i="6" l="1"/>
  <c r="I67" i="6" s="1"/>
  <c r="M67" i="6" s="1"/>
  <c r="H67" i="6" l="1"/>
  <c r="I68" i="6" s="1"/>
  <c r="M68" i="6" s="1"/>
  <c r="H68" i="6" l="1"/>
  <c r="I69" i="6" s="1"/>
  <c r="M69" i="6" s="1"/>
  <c r="H69" i="6" l="1"/>
  <c r="I70" i="6" s="1"/>
  <c r="H70" i="6" l="1"/>
  <c r="I71" i="6" s="1"/>
  <c r="M71" i="6" s="1"/>
  <c r="M70" i="6"/>
  <c r="H71" i="6" l="1"/>
  <c r="H6" i="4" s="1"/>
  <c r="H11" i="4" l="1"/>
  <c r="G6" i="4"/>
  <c r="G11" i="4" s="1"/>
  <c r="I72" i="6"/>
  <c r="H72" i="6" l="1"/>
  <c r="I73" i="6" s="1"/>
  <c r="M73" i="6" s="1"/>
  <c r="M72" i="6"/>
  <c r="H73" i="6" l="1"/>
  <c r="I74" i="6" l="1"/>
  <c r="M74" i="6" s="1"/>
  <c r="H74" i="6" l="1"/>
  <c r="I75" i="6" l="1"/>
  <c r="M75" i="6" s="1"/>
  <c r="H75" i="6" l="1"/>
  <c r="I76" i="6" l="1"/>
  <c r="H76" i="6" l="1"/>
  <c r="I77" i="6" s="1"/>
  <c r="M76" i="6"/>
  <c r="H77" i="6" l="1"/>
  <c r="I78" i="6" s="1"/>
  <c r="M77" i="6"/>
  <c r="H78" i="6" l="1"/>
  <c r="I79" i="6" s="1"/>
  <c r="M78" i="6"/>
  <c r="H79" i="6" l="1"/>
  <c r="M79" i="6"/>
  <c r="I80" i="6"/>
  <c r="H80" i="6" l="1"/>
  <c r="I81" i="6" s="1"/>
  <c r="M80" i="6"/>
  <c r="H81" i="6" l="1"/>
  <c r="I82" i="6" s="1"/>
  <c r="M81" i="6"/>
  <c r="H82" i="6" l="1"/>
  <c r="I83" i="6" s="1"/>
  <c r="M82" i="6"/>
  <c r="H83" i="6" l="1"/>
  <c r="I84" i="6" s="1"/>
  <c r="M83" i="6"/>
  <c r="H84" i="6" l="1"/>
  <c r="I85" i="6" s="1"/>
  <c r="M84" i="6"/>
  <c r="H85" i="6" l="1"/>
  <c r="I86" i="6" s="1"/>
  <c r="M85" i="6"/>
  <c r="H86" i="6" l="1"/>
  <c r="I87" i="6" s="1"/>
  <c r="M86" i="6"/>
  <c r="H87" i="6" l="1"/>
  <c r="I88" i="6" s="1"/>
  <c r="M87" i="6"/>
  <c r="H88" i="6" l="1"/>
  <c r="I89" i="6" s="1"/>
  <c r="M88" i="6"/>
  <c r="H89" i="6" l="1"/>
  <c r="I90" i="6" s="1"/>
  <c r="M89" i="6"/>
  <c r="H90" i="6" l="1"/>
  <c r="I91" i="6" s="1"/>
  <c r="M90" i="6"/>
  <c r="H91" i="6" l="1"/>
  <c r="I92" i="6" s="1"/>
  <c r="M91" i="6"/>
  <c r="H92" i="6" l="1"/>
  <c r="I93" i="6" s="1"/>
  <c r="M92" i="6"/>
  <c r="H93" i="6" l="1"/>
  <c r="I94" i="6" s="1"/>
  <c r="M93" i="6"/>
  <c r="H94" i="6" l="1"/>
  <c r="I95" i="6" s="1"/>
  <c r="M94" i="6"/>
  <c r="H95" i="6" l="1"/>
  <c r="I96" i="6" s="1"/>
  <c r="M95" i="6"/>
  <c r="H96" i="6" l="1"/>
  <c r="I97" i="6" s="1"/>
  <c r="M96" i="6"/>
  <c r="H97" i="6" l="1"/>
  <c r="I98" i="6" s="1"/>
  <c r="M97" i="6"/>
  <c r="H98" i="6" l="1"/>
  <c r="I99" i="6" s="1"/>
  <c r="M98" i="6"/>
  <c r="H99" i="6" l="1"/>
  <c r="I100" i="6" s="1"/>
  <c r="M99" i="6"/>
  <c r="H100" i="6" l="1"/>
  <c r="I101" i="6" s="1"/>
  <c r="M100" i="6"/>
  <c r="H101" i="6" l="1"/>
  <c r="I102" i="6" s="1"/>
  <c r="M101" i="6"/>
  <c r="H102" i="6" l="1"/>
  <c r="I103" i="6" s="1"/>
  <c r="M102" i="6"/>
  <c r="H103" i="6" l="1"/>
  <c r="I104" i="6" s="1"/>
  <c r="M103" i="6"/>
  <c r="M104" i="6" l="1"/>
  <c r="I105" i="6"/>
  <c r="H104" i="6"/>
  <c r="M105" i="6" l="1"/>
  <c r="M107" i="6" s="1"/>
  <c r="D75" i="1" l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44" i="1"/>
  <c r="O75" i="1" s="1"/>
  <c r="E73" i="1" l="1"/>
  <c r="F73" i="1" s="1"/>
  <c r="E72" i="1"/>
  <c r="F72" i="1" s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E64" i="1"/>
  <c r="D60" i="4" l="1"/>
  <c r="E10" i="1" l="1"/>
  <c r="E44" i="1" l="1"/>
  <c r="F44" i="1" s="1"/>
  <c r="C26" i="4"/>
  <c r="E26" i="4" s="1"/>
  <c r="B6" i="4"/>
  <c r="D23" i="4"/>
  <c r="C31" i="4"/>
  <c r="D31" i="4" l="1"/>
  <c r="D35" i="4" s="1"/>
  <c r="D43" i="4" l="1"/>
  <c r="E31" i="4"/>
  <c r="D44" i="4" l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6" i="1"/>
  <c r="F56" i="1" s="1"/>
  <c r="E57" i="1"/>
  <c r="F57" i="1" s="1"/>
  <c r="E58" i="1"/>
  <c r="F58" i="1" s="1"/>
  <c r="E59" i="1"/>
  <c r="F59" i="1" s="1"/>
  <c r="E60" i="1"/>
  <c r="F60" i="1" s="1"/>
  <c r="E62" i="1"/>
  <c r="F62" i="1" s="1"/>
  <c r="E63" i="1"/>
  <c r="F63" i="1" s="1"/>
  <c r="F64" i="1"/>
  <c r="F75" i="1" l="1"/>
  <c r="E61" i="1"/>
  <c r="F61" i="1" s="1"/>
  <c r="E55" i="1"/>
  <c r="F55" i="1" s="1"/>
  <c r="F27" i="1" l="1"/>
  <c r="F37" i="1" s="1"/>
  <c r="H43" i="1" s="1"/>
  <c r="I44" i="1" s="1"/>
  <c r="L27" i="1" l="1"/>
  <c r="L37" i="1" l="1"/>
  <c r="L39" i="1" s="1"/>
  <c r="D6" i="1"/>
  <c r="L52" i="1" l="1"/>
  <c r="L65" i="1"/>
  <c r="L73" i="1"/>
  <c r="L44" i="1"/>
  <c r="L69" i="1"/>
  <c r="L72" i="1"/>
  <c r="L68" i="1"/>
  <c r="L67" i="1"/>
  <c r="L71" i="1"/>
  <c r="L66" i="1"/>
  <c r="L70" i="1"/>
  <c r="K43" i="1"/>
  <c r="D5" i="1" s="1"/>
  <c r="D48" i="4" s="1"/>
  <c r="H44" i="1"/>
  <c r="I45" i="1" s="1"/>
  <c r="D50" i="4"/>
  <c r="L49" i="1" l="1"/>
  <c r="L45" i="1"/>
  <c r="L47" i="1"/>
  <c r="L53" i="1"/>
  <c r="L58" i="1"/>
  <c r="L51" i="1"/>
  <c r="L46" i="1"/>
  <c r="L75" i="1" s="1"/>
  <c r="L64" i="1"/>
  <c r="L57" i="1"/>
  <c r="L60" i="1"/>
  <c r="L54" i="1"/>
  <c r="L63" i="1"/>
  <c r="L56" i="1"/>
  <c r="L50" i="1"/>
  <c r="L55" i="1"/>
  <c r="L48" i="1"/>
  <c r="L61" i="1"/>
  <c r="L59" i="1"/>
  <c r="L62" i="1"/>
  <c r="H45" i="1"/>
  <c r="I46" i="1" s="1"/>
  <c r="H46" i="1" s="1"/>
  <c r="E9" i="1" l="1"/>
  <c r="K44" i="1"/>
  <c r="K45" i="1" s="1"/>
  <c r="M44" i="1"/>
  <c r="I47" i="1"/>
  <c r="M45" i="1"/>
  <c r="H47" i="1" l="1"/>
  <c r="I48" i="1" s="1"/>
  <c r="H48" i="1" s="1"/>
  <c r="I49" i="1" s="1"/>
  <c r="H49" i="1" s="1"/>
  <c r="I50" i="1" s="1"/>
  <c r="H50" i="1" s="1"/>
  <c r="C32" i="4"/>
  <c r="K46" i="1"/>
  <c r="K47" i="1" s="1"/>
  <c r="K48" i="1" s="1"/>
  <c r="K49" i="1" s="1"/>
  <c r="K50" i="1" s="1"/>
  <c r="K51" i="1" s="1"/>
  <c r="K52" i="1" s="1"/>
  <c r="K53" i="1" s="1"/>
  <c r="K54" i="1" s="1"/>
  <c r="K55" i="1" s="1"/>
  <c r="I51" i="1" l="1"/>
  <c r="H51" i="1" s="1"/>
  <c r="I52" i="1" s="1"/>
  <c r="H52" i="1" s="1"/>
  <c r="I53" i="1" s="1"/>
  <c r="H53" i="1" s="1"/>
  <c r="I54" i="1" s="1"/>
  <c r="H54" i="1" s="1"/>
  <c r="I55" i="1" s="1"/>
  <c r="E8" i="1" s="1"/>
  <c r="D54" i="4"/>
  <c r="E32" i="4"/>
  <c r="K56" i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E5" i="1"/>
  <c r="M46" i="1"/>
  <c r="C10" i="3" l="1"/>
  <c r="D11" i="3" s="1"/>
  <c r="D55" i="4"/>
  <c r="C19" i="4"/>
  <c r="E19" i="4" s="1"/>
  <c r="H55" i="1"/>
  <c r="I56" i="1" s="1"/>
  <c r="H56" i="1" s="1"/>
  <c r="I57" i="1" s="1"/>
  <c r="H57" i="1" s="1"/>
  <c r="I58" i="1" s="1"/>
  <c r="H58" i="1" s="1"/>
  <c r="I59" i="1" s="1"/>
  <c r="H59" i="1" s="1"/>
  <c r="I60" i="1" s="1"/>
  <c r="H60" i="1" s="1"/>
  <c r="I61" i="1" s="1"/>
  <c r="H61" i="1" s="1"/>
  <c r="I62" i="1" s="1"/>
  <c r="H62" i="1" s="1"/>
  <c r="I63" i="1" s="1"/>
  <c r="H63" i="1" s="1"/>
  <c r="E6" i="1" l="1"/>
  <c r="C23" i="4" s="1"/>
  <c r="E23" i="4" s="1"/>
  <c r="E24" i="4" s="1"/>
  <c r="C33" i="4"/>
  <c r="M6" i="4"/>
  <c r="I64" i="1"/>
  <c r="M47" i="1"/>
  <c r="M48" i="1"/>
  <c r="M11" i="4" l="1"/>
  <c r="O6" i="4"/>
  <c r="O11" i="4" s="1"/>
  <c r="C35" i="4"/>
  <c r="D61" i="4"/>
  <c r="D59" i="4" s="1"/>
  <c r="H64" i="1"/>
  <c r="E33" i="4"/>
  <c r="E35" i="4" s="1"/>
  <c r="M49" i="1"/>
  <c r="F5" i="1" l="1"/>
  <c r="I65" i="1"/>
  <c r="M65" i="1" s="1"/>
  <c r="M50" i="1"/>
  <c r="H65" i="1" l="1"/>
  <c r="I66" i="1" s="1"/>
  <c r="M51" i="1"/>
  <c r="H66" i="1" l="1"/>
  <c r="I67" i="1" s="1"/>
  <c r="M66" i="1"/>
  <c r="M52" i="1"/>
  <c r="H67" i="1" l="1"/>
  <c r="I68" i="1" s="1"/>
  <c r="M67" i="1"/>
  <c r="M53" i="1"/>
  <c r="H68" i="1" l="1"/>
  <c r="I69" i="1" s="1"/>
  <c r="M69" i="1" s="1"/>
  <c r="M68" i="1"/>
  <c r="M54" i="1"/>
  <c r="H69" i="1" l="1"/>
  <c r="I70" i="1" s="1"/>
  <c r="M55" i="1"/>
  <c r="H70" i="1" l="1"/>
  <c r="I71" i="1" s="1"/>
  <c r="M70" i="1"/>
  <c r="M56" i="1"/>
  <c r="H71" i="1" l="1"/>
  <c r="I72" i="1" s="1"/>
  <c r="M71" i="1"/>
  <c r="M57" i="1"/>
  <c r="H72" i="1" l="1"/>
  <c r="I73" i="1" s="1"/>
  <c r="I75" i="1" s="1"/>
  <c r="M72" i="1"/>
  <c r="M58" i="1"/>
  <c r="H73" i="1" l="1"/>
  <c r="M73" i="1"/>
  <c r="M59" i="1"/>
  <c r="M60" i="1" l="1"/>
  <c r="M61" i="1" l="1"/>
  <c r="M62" i="1" l="1"/>
  <c r="M63" i="1" l="1"/>
  <c r="M64" i="1" l="1"/>
  <c r="M75" i="1" s="1"/>
  <c r="G75" i="1" l="1"/>
  <c r="M77" i="1" l="1"/>
</calcChain>
</file>

<file path=xl/sharedStrings.xml><?xml version="1.0" encoding="utf-8"?>
<sst xmlns="http://schemas.openxmlformats.org/spreadsheetml/2006/main" count="220" uniqueCount="123">
  <si>
    <t>Summary</t>
  </si>
  <si>
    <t>At initial application</t>
  </si>
  <si>
    <t>At year end</t>
  </si>
  <si>
    <t>Right-of-use asset</t>
  </si>
  <si>
    <t>Lease liability</t>
  </si>
  <si>
    <t>Interest expense for the year</t>
  </si>
  <si>
    <t>Rent expense (IAS 17)</t>
  </si>
  <si>
    <t>A. Input data based on the contracts</t>
  </si>
  <si>
    <t>Description</t>
  </si>
  <si>
    <t>Lessee:</t>
  </si>
  <si>
    <t>Lessor:</t>
  </si>
  <si>
    <t>Leased asset:</t>
  </si>
  <si>
    <t>Lease period</t>
  </si>
  <si>
    <t>From</t>
  </si>
  <si>
    <t>To</t>
  </si>
  <si>
    <t>Lessee's incremental borrowing rate at initial application date(p.a.)</t>
  </si>
  <si>
    <t xml:space="preserve">Remaining lease term </t>
  </si>
  <si>
    <t>Fixed lease payments (discounted)</t>
  </si>
  <si>
    <t>Variable payments (discounted)</t>
  </si>
  <si>
    <t>(+)</t>
  </si>
  <si>
    <t>Initial direct costs</t>
  </si>
  <si>
    <t>Residual value guarantee (discounted)</t>
  </si>
  <si>
    <t>Cost of removal and restoring</t>
  </si>
  <si>
    <t>Exercise price of purchase option (discounted)</t>
  </si>
  <si>
    <t>Payments made prior to commencement</t>
  </si>
  <si>
    <t>Termination penalties (discounted)</t>
  </si>
  <si>
    <t>Lease incentives received</t>
  </si>
  <si>
    <t>(-)</t>
  </si>
  <si>
    <t xml:space="preserve">IAS 17 </t>
  </si>
  <si>
    <t xml:space="preserve">Year 
</t>
  </si>
  <si>
    <t>Number</t>
  </si>
  <si>
    <t xml:space="preserve">Fixed lease payment (nominal) </t>
  </si>
  <si>
    <t>Interest rate</t>
  </si>
  <si>
    <t>Net present value</t>
  </si>
  <si>
    <t>Lease liability at period end</t>
  </si>
  <si>
    <t>Interest expense for the period</t>
  </si>
  <si>
    <t>Right-of-use asset at period end</t>
  </si>
  <si>
    <t>Total expense for the period</t>
  </si>
  <si>
    <t>Prepaid asset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</si>
  <si>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</si>
  <si>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</si>
  <si>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</si>
  <si>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</si>
  <si>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</si>
  <si>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</si>
  <si>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</si>
  <si>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</si>
  <si>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</si>
  <si>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</si>
  <si>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#</t>
  </si>
  <si>
    <t>Dr.</t>
  </si>
  <si>
    <t>Cr.</t>
  </si>
  <si>
    <t xml:space="preserve">Rental expenses  </t>
  </si>
  <si>
    <t>(Removal of rental expense)</t>
  </si>
  <si>
    <t>Finance cost</t>
  </si>
  <si>
    <t>Category</t>
  </si>
  <si>
    <t>IFRS 16</t>
  </si>
  <si>
    <t>IAS 17</t>
  </si>
  <si>
    <t>Difference</t>
  </si>
  <si>
    <t>Right of use of asset</t>
  </si>
  <si>
    <t>Impact to opening RE</t>
  </si>
  <si>
    <t>Rent expense (Should have been)</t>
  </si>
  <si>
    <t>At initial recognition</t>
  </si>
  <si>
    <t>Existing contracts</t>
  </si>
  <si>
    <t>New contracts</t>
  </si>
  <si>
    <t>IFRS 16 not applied (Exempted)</t>
  </si>
  <si>
    <t>ANALYSIS ON IMPACT TO FS</t>
  </si>
  <si>
    <t>BALANCE SHEET</t>
  </si>
  <si>
    <t>Assets</t>
  </si>
  <si>
    <t>Right of use</t>
  </si>
  <si>
    <t>Prepaid rent</t>
  </si>
  <si>
    <t>Liabilities</t>
  </si>
  <si>
    <t>Equity</t>
  </si>
  <si>
    <t>Retained earnings</t>
  </si>
  <si>
    <t>INCOME STATEMENT</t>
  </si>
  <si>
    <t>Expense</t>
  </si>
  <si>
    <t>Rent expense</t>
  </si>
  <si>
    <t>Interest expense</t>
  </si>
  <si>
    <t>PROPOSED ENTRIES:</t>
  </si>
  <si>
    <t>At end of the year:</t>
  </si>
  <si>
    <t>To reverse rent expense recorded by the company:</t>
  </si>
  <si>
    <t>Cash/cash in bank</t>
  </si>
  <si>
    <t>Dr</t>
  </si>
  <si>
    <t>Cr</t>
  </si>
  <si>
    <t>To record recognition of ROU asset and lease liability and opening RE adjustment (if applicable):</t>
  </si>
  <si>
    <t>ROU asset</t>
  </si>
  <si>
    <t>To record depreciation of ROU asset:</t>
  </si>
  <si>
    <t>Depreciation expense -  ROU asset</t>
  </si>
  <si>
    <t>Accumulated depreciation -  ROU asset</t>
  </si>
  <si>
    <t xml:space="preserve">To record interest expense and payment of lease liability: </t>
  </si>
  <si>
    <t>Liability repayment</t>
  </si>
  <si>
    <t>As per IAS 17</t>
  </si>
  <si>
    <t>Remaining months</t>
  </si>
  <si>
    <t>MONTHLY DEPRECIATION</t>
  </si>
  <si>
    <t>Depreciation expense for the period</t>
  </si>
  <si>
    <t>Depreciation expense for the year</t>
  </si>
  <si>
    <t xml:space="preserve"> </t>
  </si>
  <si>
    <t>Rent expense (2020)</t>
  </si>
  <si>
    <t>Rent expense for the mont</t>
  </si>
  <si>
    <t>Gulf Crown Furniture</t>
  </si>
  <si>
    <r>
      <t xml:space="preserve">B. Calculate right-of-use asset and lease liability as at </t>
    </r>
    <r>
      <rPr>
        <b/>
        <u/>
        <sz val="9"/>
        <color rgb="FFFF0000"/>
        <rFont val="Tahoma"/>
        <family val="2"/>
      </rPr>
      <t>initial application date (1 January 2020)</t>
    </r>
    <r>
      <rPr>
        <b/>
        <sz val="9"/>
        <color theme="1"/>
        <rFont val="Tahoma"/>
        <family val="2"/>
      </rPr>
      <t>. Populate table below.</t>
    </r>
  </si>
  <si>
    <t>Journal Entries to be passed for IFRS 16 calculation</t>
  </si>
  <si>
    <t>RIGHT-OF-USE ASSET AT 1 OCTOBER 2022</t>
  </si>
  <si>
    <t>LEASE LIABILITY AT 1 OCTOBER 2022</t>
  </si>
  <si>
    <t>RIGHT-OF-USE ASSET AT 1 AUG 2022</t>
  </si>
  <si>
    <t>LEASE LIABILITY AT 1 AUG 2022</t>
  </si>
  <si>
    <t>ROU - ASSETS</t>
  </si>
  <si>
    <t>ROU - LIABILITY</t>
  </si>
  <si>
    <t>AMORT</t>
  </si>
  <si>
    <t>ACC. AMORTIZATION</t>
  </si>
  <si>
    <t>INT EXP</t>
  </si>
  <si>
    <t>RENT</t>
  </si>
  <si>
    <t>LEASE LIABILITY</t>
  </si>
  <si>
    <t>OTHER INCOME</t>
  </si>
  <si>
    <t>Short term at 31.12.2023</t>
  </si>
  <si>
    <t>Long term at 31.12.2023</t>
  </si>
  <si>
    <t>Interest expense (2023)</t>
  </si>
  <si>
    <t>Total  expense (2023)</t>
  </si>
  <si>
    <t>Amortization - right of use asset</t>
  </si>
  <si>
    <t>Accumulated amortization - right of use asset</t>
  </si>
  <si>
    <t>(Amortization for right of use assets)</t>
  </si>
  <si>
    <t>Amortization expense</t>
  </si>
  <si>
    <t>Amortization expenses 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</si>
</sst>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b/>
      <sz val="9"/>
      <name val="Tahoma"/>
      <family val="2"/>
    </font>
    <font>
      <b/>
      <sz val="9"/>
      <color rgb="FF0070C0"/>
      <name val="Tahoma"/>
      <family val="2"/>
    </font>
    <font>
      <i/>
      <sz val="9"/>
      <color theme="1"/>
      <name val="Tahoma"/>
      <family val="2"/>
    </font>
    <font>
      <b/>
      <u/>
      <sz val="9"/>
      <color rgb="FFFF0000"/>
      <name val="Tahoma"/>
      <family val="2"/>
    </font>
    <font>
      <b/>
      <sz val="9"/>
      <color theme="0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Tahoma"/>
      <family val="2"/>
    </font>
    <font>
      <b/>
      <sz val="10"/>
      <color theme="1"/>
      <name val="Tahoma"/>
      <family val="2"/>
    </font>
    <font>
      <b/>
      <sz val="10"/>
      <color rgb="FFFF0000"/>
      <name val="Tahoma"/>
      <family val="2"/>
    </font>
    <font>
      <b/>
      <i/>
      <sz val="10"/>
      <color theme="1"/>
      <name val="Tahoma"/>
      <family val="2"/>
    </font>
    <font>
      <sz val="10"/>
      <color rgb="FFFF0000"/>
      <name val="Tahoma"/>
      <family val="2"/>
    </font>
    <font>
      <sz val="11"/>
      <name val="Calibri"/>
      <family val="2"/>
      <scheme val="minor"/>
    </font>
    <font>
      <sz val="10"/>
      <name val="Tahoma"/>
      <family val="2"/>
    </font>
    <font>
      <sz val="10"/>
      <color theme="1"/>
      <name val="Tahoma"/>
      <family val="2"/>
    </font>
    <font>
      <b/>
      <u/>
      <sz val="10"/>
      <color theme="1"/>
      <name val="Tahoma"/>
      <family val="2"/>
    </font>
    <font>
      <i/>
      <sz val="10"/>
      <color theme="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4">
    <xf numFmtId="0" fontId="0" fillId="0" borderId="0" xfId="0"/>
    <xf numFmtId="165" fontId="0" fillId="0" borderId="0" xfId="1" applyNumberFormat="1" applyFont="1"/>
    <xf numFmtId="0" fontId="2" fillId="0" borderId="1" xfId="0" applyFont="1" applyBorder="1"/>
    <xf numFmtId="0" fontId="3" fillId="0" borderId="2" xfId="0" applyFont="1" applyBorder="1"/>
    <xf numFmtId="0" fontId="0" fillId="0" borderId="2" xfId="0" applyBorder="1"/>
    <xf numFmtId="165" fontId="0" fillId="0" borderId="2" xfId="1" applyNumberFormat="1" applyFont="1" applyBorder="1"/>
    <xf numFmtId="0" fontId="0" fillId="0" borderId="3" xfId="0" applyBorder="1"/>
    <xf numFmtId="0" fontId="2" fillId="0" borderId="4" xfId="0" applyFont="1" applyBorder="1"/>
    <xf numFmtId="0" fontId="3" fillId="0" borderId="0" xfId="0" applyFont="1"/>
    <xf numFmtId="165" fontId="0" fillId="0" borderId="0" xfId="1" applyNumberFormat="1" applyFont="1" applyBorder="1"/>
    <xf numFmtId="0" fontId="0" fillId="0" borderId="5" xfId="0" applyBorder="1"/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/>
    <xf numFmtId="166" fontId="3" fillId="0" borderId="0" xfId="0" applyNumberFormat="1" applyFont="1"/>
    <xf numFmtId="166" fontId="3" fillId="0" borderId="5" xfId="0" applyNumberFormat="1" applyFont="1" applyBorder="1"/>
    <xf numFmtId="165" fontId="0" fillId="0" borderId="0" xfId="0" applyNumberFormat="1"/>
    <xf numFmtId="0" fontId="3" fillId="0" borderId="5" xfId="0" applyFont="1" applyBorder="1"/>
    <xf numFmtId="166" fontId="3" fillId="0" borderId="5" xfId="1" applyNumberFormat="1" applyFont="1" applyBorder="1"/>
    <xf numFmtId="166" fontId="0" fillId="0" borderId="0" xfId="0" applyNumberFormat="1"/>
    <xf numFmtId="0" fontId="3" fillId="0" borderId="6" xfId="0" applyFont="1" applyBorder="1"/>
    <xf numFmtId="0" fontId="3" fillId="0" borderId="7" xfId="0" applyFont="1" applyBorder="1"/>
    <xf numFmtId="166" fontId="3" fillId="0" borderId="8" xfId="0" applyNumberFormat="1" applyFont="1" applyBorder="1"/>
    <xf numFmtId="0" fontId="0" fillId="0" borderId="4" xfId="0" applyBorder="1"/>
    <xf numFmtId="0" fontId="4" fillId="2" borderId="4" xfId="0" applyFont="1" applyFill="1" applyBorder="1"/>
    <xf numFmtId="0" fontId="3" fillId="2" borderId="0" xfId="0" applyFont="1" applyFill="1"/>
    <xf numFmtId="166" fontId="3" fillId="2" borderId="0" xfId="0" applyNumberFormat="1" applyFont="1" applyFill="1"/>
    <xf numFmtId="0" fontId="5" fillId="2" borderId="4" xfId="0" applyFont="1" applyFill="1" applyBorder="1"/>
    <xf numFmtId="0" fontId="3" fillId="2" borderId="4" xfId="0" applyFont="1" applyFill="1" applyBorder="1"/>
    <xf numFmtId="166" fontId="3" fillId="3" borderId="0" xfId="1" applyNumberFormat="1" applyFont="1" applyFill="1" applyBorder="1"/>
    <xf numFmtId="0" fontId="3" fillId="3" borderId="0" xfId="0" applyFont="1" applyFill="1"/>
    <xf numFmtId="165" fontId="3" fillId="3" borderId="0" xfId="1" applyNumberFormat="1" applyFont="1" applyFill="1" applyBorder="1"/>
    <xf numFmtId="15" fontId="3" fillId="3" borderId="0" xfId="0" applyNumberFormat="1" applyFont="1" applyFill="1"/>
    <xf numFmtId="10" fontId="3" fillId="3" borderId="0" xfId="2" applyNumberFormat="1" applyFont="1" applyFill="1" applyBorder="1"/>
    <xf numFmtId="0" fontId="6" fillId="3" borderId="0" xfId="0" applyFont="1" applyFill="1"/>
    <xf numFmtId="10" fontId="0" fillId="0" borderId="0" xfId="2" applyNumberFormat="1" applyFont="1" applyBorder="1"/>
    <xf numFmtId="0" fontId="2" fillId="0" borderId="0" xfId="0" applyFont="1" applyAlignment="1">
      <alignment horizontal="right"/>
    </xf>
    <xf numFmtId="166" fontId="0" fillId="4" borderId="9" xfId="0" applyNumberFormat="1" applyFill="1" applyBorder="1"/>
    <xf numFmtId="165" fontId="0" fillId="5" borderId="9" xfId="1" applyNumberFormat="1" applyFont="1" applyFill="1" applyBorder="1"/>
    <xf numFmtId="0" fontId="0" fillId="4" borderId="9" xfId="0" applyFill="1" applyBorder="1"/>
    <xf numFmtId="165" fontId="0" fillId="4" borderId="9" xfId="0" applyNumberFormat="1" applyFill="1" applyBorder="1"/>
    <xf numFmtId="0" fontId="2" fillId="0" borderId="0" xfId="0" applyFont="1"/>
    <xf numFmtId="0" fontId="2" fillId="2" borderId="0" xfId="0" applyFont="1" applyFill="1"/>
    <xf numFmtId="0" fontId="8" fillId="6" borderId="10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 wrapText="1"/>
    </xf>
    <xf numFmtId="165" fontId="8" fillId="6" borderId="9" xfId="1" applyNumberFormat="1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10" fontId="0" fillId="0" borderId="9" xfId="2" applyNumberFormat="1" applyFont="1" applyBorder="1"/>
    <xf numFmtId="165" fontId="3" fillId="7" borderId="9" xfId="1" applyNumberFormat="1" applyFont="1" applyFill="1" applyBorder="1"/>
    <xf numFmtId="165" fontId="3" fillId="7" borderId="11" xfId="1" applyNumberFormat="1" applyFont="1" applyFill="1" applyBorder="1"/>
    <xf numFmtId="10" fontId="0" fillId="0" borderId="9" xfId="2" applyNumberFormat="1" applyFont="1" applyFill="1" applyBorder="1"/>
    <xf numFmtId="165" fontId="3" fillId="0" borderId="9" xfId="1" applyNumberFormat="1" applyFont="1" applyFill="1" applyBorder="1" applyAlignment="1">
      <alignment horizontal="right" wrapText="1"/>
    </xf>
    <xf numFmtId="165" fontId="3" fillId="0" borderId="9" xfId="1" applyNumberFormat="1" applyFont="1" applyFill="1" applyBorder="1"/>
    <xf numFmtId="165" fontId="3" fillId="0" borderId="11" xfId="1" applyNumberFormat="1" applyFont="1" applyFill="1" applyBorder="1"/>
    <xf numFmtId="43" fontId="0" fillId="0" borderId="0" xfId="0" applyNumberFormat="1"/>
    <xf numFmtId="0" fontId="0" fillId="0" borderId="6" xfId="0" applyBorder="1"/>
    <xf numFmtId="0" fontId="0" fillId="0" borderId="7" xfId="0" applyBorder="1"/>
    <xf numFmtId="164" fontId="0" fillId="0" borderId="7" xfId="0" applyNumberFormat="1" applyBorder="1"/>
    <xf numFmtId="43" fontId="0" fillId="0" borderId="7" xfId="0" applyNumberFormat="1" applyBorder="1"/>
    <xf numFmtId="166" fontId="2" fillId="7" borderId="12" xfId="1" applyNumberFormat="1" applyFont="1" applyFill="1" applyBorder="1"/>
    <xf numFmtId="164" fontId="2" fillId="7" borderId="12" xfId="1" applyNumberFormat="1" applyFont="1" applyFill="1" applyBorder="1"/>
    <xf numFmtId="164" fontId="2" fillId="7" borderId="13" xfId="1" applyNumberFormat="1" applyFont="1" applyFill="1" applyBorder="1"/>
    <xf numFmtId="0" fontId="3" fillId="0" borderId="9" xfId="0" applyFont="1" applyBorder="1" applyAlignment="1">
      <alignment horizontal="center"/>
    </xf>
    <xf numFmtId="165" fontId="0" fillId="0" borderId="9" xfId="1" applyNumberFormat="1" applyFont="1" applyFill="1" applyBorder="1"/>
    <xf numFmtId="166" fontId="2" fillId="0" borderId="9" xfId="1" applyNumberFormat="1" applyFont="1" applyFill="1" applyBorder="1" applyAlignment="1">
      <alignment horizontal="right" wrapText="1"/>
    </xf>
    <xf numFmtId="0" fontId="3" fillId="0" borderId="9" xfId="0" applyFont="1" applyBorder="1"/>
    <xf numFmtId="166" fontId="2" fillId="0" borderId="9" xfId="1" applyNumberFormat="1" applyFont="1" applyFill="1" applyBorder="1"/>
    <xf numFmtId="164" fontId="3" fillId="0" borderId="9" xfId="0" applyNumberFormat="1" applyFont="1" applyBorder="1"/>
    <xf numFmtId="164" fontId="3" fillId="0" borderId="11" xfId="0" applyNumberFormat="1" applyFont="1" applyBorder="1"/>
    <xf numFmtId="17" fontId="0" fillId="8" borderId="9" xfId="0" applyNumberForma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165" fontId="0" fillId="0" borderId="0" xfId="1" applyNumberFormat="1" applyFont="1" applyFill="1"/>
    <xf numFmtId="165" fontId="10" fillId="0" borderId="0" xfId="1" applyNumberFormat="1" applyFont="1" applyFill="1"/>
    <xf numFmtId="0" fontId="12" fillId="11" borderId="19" xfId="0" applyFont="1" applyFill="1" applyBorder="1" applyAlignment="1">
      <alignment horizontal="center"/>
    </xf>
    <xf numFmtId="0" fontId="11" fillId="9" borderId="9" xfId="0" applyFont="1" applyFill="1" applyBorder="1" applyAlignment="1">
      <alignment horizontal="center" wrapText="1"/>
    </xf>
    <xf numFmtId="0" fontId="14" fillId="0" borderId="4" xfId="0" applyFont="1" applyBorder="1"/>
    <xf numFmtId="0" fontId="15" fillId="0" borderId="4" xfId="0" applyFont="1" applyBorder="1"/>
    <xf numFmtId="165" fontId="16" fillId="0" borderId="5" xfId="1" applyNumberFormat="1" applyFont="1" applyBorder="1"/>
    <xf numFmtId="165" fontId="16" fillId="0" borderId="0" xfId="1" applyNumberFormat="1" applyFont="1" applyBorder="1"/>
    <xf numFmtId="165" fontId="0" fillId="0" borderId="5" xfId="1" applyNumberFormat="1" applyFont="1" applyBorder="1"/>
    <xf numFmtId="0" fontId="17" fillId="0" borderId="4" xfId="0" applyFont="1" applyBorder="1"/>
    <xf numFmtId="0" fontId="18" fillId="0" borderId="4" xfId="0" applyFont="1" applyBorder="1"/>
    <xf numFmtId="0" fontId="0" fillId="0" borderId="25" xfId="0" applyBorder="1"/>
    <xf numFmtId="165" fontId="0" fillId="0" borderId="26" xfId="1" applyNumberFormat="1" applyFont="1" applyBorder="1"/>
    <xf numFmtId="0" fontId="12" fillId="0" borderId="4" xfId="0" applyFont="1" applyBorder="1"/>
    <xf numFmtId="0" fontId="18" fillId="0" borderId="0" xfId="0" applyFont="1"/>
    <xf numFmtId="0" fontId="19" fillId="0" borderId="4" xfId="0" applyFont="1" applyBorder="1"/>
    <xf numFmtId="166" fontId="18" fillId="0" borderId="0" xfId="0" applyNumberFormat="1" applyFont="1"/>
    <xf numFmtId="0" fontId="20" fillId="0" borderId="4" xfId="0" applyFont="1" applyBorder="1"/>
    <xf numFmtId="0" fontId="18" fillId="0" borderId="0" xfId="0" applyFont="1" applyAlignment="1">
      <alignment horizontal="right"/>
    </xf>
    <xf numFmtId="0" fontId="9" fillId="0" borderId="0" xfId="0" applyFont="1"/>
    <xf numFmtId="0" fontId="18" fillId="0" borderId="7" xfId="0" applyFont="1" applyBorder="1" applyAlignment="1">
      <alignment horizontal="right"/>
    </xf>
    <xf numFmtId="166" fontId="0" fillId="0" borderId="7" xfId="0" applyNumberFormat="1" applyBorder="1"/>
    <xf numFmtId="0" fontId="0" fillId="0" borderId="8" xfId="0" applyBorder="1"/>
    <xf numFmtId="165" fontId="0" fillId="4" borderId="9" xfId="1" applyNumberFormat="1" applyFont="1" applyFill="1" applyBorder="1"/>
    <xf numFmtId="165" fontId="3" fillId="7" borderId="14" xfId="1" applyNumberFormat="1" applyFont="1" applyFill="1" applyBorder="1"/>
    <xf numFmtId="17" fontId="0" fillId="8" borderId="0" xfId="0" applyNumberFormat="1" applyFill="1" applyAlignment="1">
      <alignment horizontal="center"/>
    </xf>
    <xf numFmtId="0" fontId="3" fillId="2" borderId="0" xfId="0" applyFont="1" applyFill="1" applyAlignment="1">
      <alignment horizontal="center"/>
    </xf>
    <xf numFmtId="165" fontId="0" fillId="0" borderId="0" xfId="1" applyNumberFormat="1" applyFont="1" applyFill="1" applyBorder="1"/>
    <xf numFmtId="165" fontId="3" fillId="7" borderId="0" xfId="1" applyNumberFormat="1" applyFont="1" applyFill="1" applyBorder="1"/>
    <xf numFmtId="165" fontId="3" fillId="0" borderId="30" xfId="1" applyNumberFormat="1" applyFont="1" applyFill="1" applyBorder="1" applyAlignment="1">
      <alignment horizontal="right" wrapText="1"/>
    </xf>
    <xf numFmtId="165" fontId="3" fillId="0" borderId="0" xfId="1" applyNumberFormat="1" applyFont="1" applyFill="1" applyBorder="1"/>
    <xf numFmtId="43" fontId="0" fillId="0" borderId="0" xfId="1" applyFont="1"/>
    <xf numFmtId="0" fontId="18" fillId="0" borderId="31" xfId="0" applyFont="1" applyBorder="1"/>
    <xf numFmtId="165" fontId="1" fillId="0" borderId="0" xfId="1" applyNumberFormat="1" applyFont="1" applyFill="1"/>
    <xf numFmtId="0" fontId="0" fillId="8" borderId="0" xfId="0" applyFill="1"/>
    <xf numFmtId="165" fontId="0" fillId="0" borderId="3" xfId="1" applyNumberFormat="1" applyFont="1" applyBorder="1"/>
    <xf numFmtId="165" fontId="8" fillId="6" borderId="11" xfId="1" applyNumberFormat="1" applyFont="1" applyFill="1" applyBorder="1" applyAlignment="1">
      <alignment horizontal="center" vertical="center" wrapText="1"/>
    </xf>
    <xf numFmtId="17" fontId="0" fillId="8" borderId="10" xfId="0" applyNumberFormat="1" applyFill="1" applyBorder="1" applyAlignment="1">
      <alignment horizontal="center"/>
    </xf>
    <xf numFmtId="166" fontId="3" fillId="12" borderId="5" xfId="1" applyNumberFormat="1" applyFont="1" applyFill="1" applyBorder="1"/>
    <xf numFmtId="166" fontId="3" fillId="12" borderId="8" xfId="0" applyNumberFormat="1" applyFont="1" applyFill="1" applyBorder="1"/>
    <xf numFmtId="166" fontId="3" fillId="12" borderId="5" xfId="0" applyNumberFormat="1" applyFont="1" applyFill="1" applyBorder="1"/>
    <xf numFmtId="166" fontId="3" fillId="13" borderId="0" xfId="0" applyNumberFormat="1" applyFont="1" applyFill="1"/>
    <xf numFmtId="165" fontId="3" fillId="4" borderId="9" xfId="1" applyNumberFormat="1" applyFont="1" applyFill="1" applyBorder="1"/>
    <xf numFmtId="0" fontId="3" fillId="13" borderId="9" xfId="0" applyFont="1" applyFill="1" applyBorder="1" applyAlignment="1">
      <alignment horizontal="center"/>
    </xf>
    <xf numFmtId="165" fontId="0" fillId="13" borderId="9" xfId="1" applyNumberFormat="1" applyFont="1" applyFill="1" applyBorder="1"/>
    <xf numFmtId="10" fontId="0" fillId="13" borderId="9" xfId="2" applyNumberFormat="1" applyFont="1" applyFill="1" applyBorder="1"/>
    <xf numFmtId="165" fontId="3" fillId="13" borderId="9" xfId="1" applyNumberFormat="1" applyFont="1" applyFill="1" applyBorder="1"/>
    <xf numFmtId="165" fontId="3" fillId="13" borderId="9" xfId="1" applyNumberFormat="1" applyFont="1" applyFill="1" applyBorder="1" applyAlignment="1">
      <alignment horizontal="right" wrapText="1"/>
    </xf>
    <xf numFmtId="165" fontId="3" fillId="13" borderId="11" xfId="1" applyNumberFormat="1" applyFont="1" applyFill="1" applyBorder="1"/>
    <xf numFmtId="165" fontId="3" fillId="4" borderId="9" xfId="1" applyNumberFormat="1" applyFont="1" applyFill="1" applyBorder="1" applyAlignment="1">
      <alignment horizontal="right" wrapText="1"/>
    </xf>
    <xf numFmtId="0" fontId="11" fillId="9" borderId="9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66" fontId="0" fillId="0" borderId="8" xfId="0" applyNumberFormat="1" applyBorder="1"/>
    <xf numFmtId="0" fontId="2" fillId="2" borderId="7" xfId="0" applyFont="1" applyFill="1" applyBorder="1"/>
    <xf numFmtId="0" fontId="3" fillId="2" borderId="7" xfId="0" applyFont="1" applyFill="1" applyBorder="1"/>
    <xf numFmtId="165" fontId="0" fillId="0" borderId="8" xfId="1" applyNumberFormat="1" applyFont="1" applyBorder="1"/>
    <xf numFmtId="165" fontId="18" fillId="0" borderId="0" xfId="1" applyNumberFormat="1" applyFont="1" applyBorder="1"/>
    <xf numFmtId="165" fontId="12" fillId="8" borderId="0" xfId="1" applyNumberFormat="1" applyFont="1" applyFill="1" applyBorder="1"/>
    <xf numFmtId="0" fontId="0" fillId="0" borderId="0" xfId="0" applyAlignment="1">
      <alignment vertical="center"/>
    </xf>
    <xf numFmtId="165" fontId="0" fillId="0" borderId="32" xfId="1" applyNumberFormat="1" applyFont="1" applyBorder="1"/>
    <xf numFmtId="0" fontId="18" fillId="0" borderId="6" xfId="0" applyFont="1" applyBorder="1"/>
    <xf numFmtId="165" fontId="18" fillId="0" borderId="7" xfId="1" applyNumberFormat="1" applyFont="1" applyBorder="1"/>
    <xf numFmtId="165" fontId="12" fillId="8" borderId="7" xfId="1" applyNumberFormat="1" applyFont="1" applyFill="1" applyBorder="1"/>
    <xf numFmtId="0" fontId="13" fillId="9" borderId="9" xfId="0" applyFont="1" applyFill="1" applyBorder="1" applyAlignment="1">
      <alignment horizontal="center" vertical="center" wrapText="1"/>
    </xf>
    <xf numFmtId="0" fontId="11" fillId="9" borderId="27" xfId="0" applyFont="1" applyFill="1" applyBorder="1" applyAlignment="1">
      <alignment horizontal="center"/>
    </xf>
    <xf numFmtId="0" fontId="11" fillId="9" borderId="28" xfId="0" applyFont="1" applyFill="1" applyBorder="1" applyAlignment="1">
      <alignment horizontal="center"/>
    </xf>
    <xf numFmtId="0" fontId="11" fillId="9" borderId="29" xfId="0" applyFont="1" applyFill="1" applyBorder="1" applyAlignment="1">
      <alignment horizontal="center"/>
    </xf>
    <xf numFmtId="0" fontId="11" fillId="9" borderId="15" xfId="0" applyFont="1" applyFill="1" applyBorder="1" applyAlignment="1">
      <alignment horizontal="center" vertical="center" wrapText="1"/>
    </xf>
    <xf numFmtId="0" fontId="11" fillId="9" borderId="21" xfId="0" applyFont="1" applyFill="1" applyBorder="1" applyAlignment="1">
      <alignment horizontal="center" vertical="center" wrapText="1"/>
    </xf>
    <xf numFmtId="0" fontId="11" fillId="9" borderId="23" xfId="0" applyFont="1" applyFill="1" applyBorder="1" applyAlignment="1">
      <alignment horizontal="center" vertical="center" wrapText="1"/>
    </xf>
    <xf numFmtId="0" fontId="11" fillId="10" borderId="16" xfId="0" applyFont="1" applyFill="1" applyBorder="1" applyAlignment="1">
      <alignment horizontal="center" vertical="center" wrapText="1"/>
    </xf>
    <xf numFmtId="0" fontId="11" fillId="10" borderId="17" xfId="0" applyFont="1" applyFill="1" applyBorder="1" applyAlignment="1">
      <alignment horizontal="center" vertical="center" wrapText="1"/>
    </xf>
    <xf numFmtId="0" fontId="11" fillId="10" borderId="18" xfId="0" applyFont="1" applyFill="1" applyBorder="1" applyAlignment="1">
      <alignment horizontal="center" vertical="center" wrapText="1"/>
    </xf>
    <xf numFmtId="0" fontId="11" fillId="9" borderId="20" xfId="0" applyFont="1" applyFill="1" applyBorder="1" applyAlignment="1">
      <alignment horizontal="center" vertical="center"/>
    </xf>
    <xf numFmtId="0" fontId="11" fillId="9" borderId="22" xfId="0" applyFont="1" applyFill="1" applyBorder="1" applyAlignment="1">
      <alignment horizontal="center" vertical="center"/>
    </xf>
    <xf numFmtId="0" fontId="11" fillId="9" borderId="24" xfId="0" applyFont="1" applyFill="1" applyBorder="1" applyAlignment="1">
      <alignment horizontal="center" vertical="center"/>
    </xf>
    <xf numFmtId="0" fontId="11" fillId="9" borderId="9" xfId="0" applyFont="1" applyFill="1" applyBorder="1" applyAlignment="1">
      <alignment horizontal="center"/>
    </xf>
    <xf numFmtId="0" fontId="11" fillId="9" borderId="9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CTIVITY\FINANCE\Debit%20Note\DN-2002.D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ansari/Desktop/documents%20Saed/Royal%20Thai%20Mens%20Spa/DRAFT%20FS/ACTIVITY/FINANCE/Debit%20Note/DN-2002.D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rman.GMTGROUP/Downloads/Grand%20Mart-%20Fixed%20Asset%20Depreciation%20Schedule%202012%20onwards%20-%20updated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PPL%20Working\XL\FormatsCello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PPL%20Working\XL\FormatsCell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m\Data%20(D)\Documents%20and%20Settings\gamal\Desktop\CLOSING090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EW\Mashreq\Documents%20and%20Settings\gamal.saleh\Local%20Settings\Temporary%20Internet%20Files\Content.Outlook\3FILJ81Z\BS%2031-12-2007%20Rev2%20(2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SERVER1\FileServer\Documents%20and%20Settings\gamal.saleh\Local%20Settings\Temporary%20Internet%20Files\Content.Outlook\3FILJ81Z\BS%2031-12-2007%20Rev2%20(2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EW\Mashreq\My%20Documents\&#44221;&#47532;(Account)\&#53468;&#44397;(Thai)\&#51060;&#52632;&#51652;\USER\WON\WORKIMP\SU_S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iva/Documents/Clients/GM/Grand%20Mart%20Group/ETS/Revenue/WIP%202014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iva/Documents/Clients/GM/Grand%20Mart%20Group/ETS/Revenue/Final/Revenue%20Calculation%20ETS%202014%20201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4396;&#51221;\C\USER\WON\WORKIMP\SU_S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.Note-HO-B.Anne"/>
      <sheetName val="D.Note-HO-Jean Luc"/>
      <sheetName val="D.Note-HO-Bruno"/>
      <sheetName val="D.Note-HO-Jean Francois"/>
      <sheetName val="D.Note-BV Japan"/>
      <sheetName val="D.Note-MER"/>
      <sheetName val="D.Note - Technitas"/>
      <sheetName val="Sheet1"/>
      <sheetName val="Sheet2"/>
      <sheetName val="Sheet3"/>
      <sheetName val="D_Note-HO-B_Anne"/>
      <sheetName val="D_Note-HO-Jean_Luc"/>
      <sheetName val="D_Note-HO-Bruno"/>
      <sheetName val="D_Note-HO-Jean_Francois"/>
      <sheetName val="D_Note-BV_Japan"/>
      <sheetName val="D_Note-MER"/>
      <sheetName val="D_Note_-_Technitas"/>
      <sheetName val="D_Note-HO-B_Anne1"/>
      <sheetName val="D_Note-HO-Jean_Luc1"/>
      <sheetName val="D_Note-HO-Bruno1"/>
      <sheetName val="D_Note-HO-Jean_Francois1"/>
      <sheetName val="D_Note-BV_Japan1"/>
      <sheetName val="D_Note-MER1"/>
      <sheetName val="D_Note_-_Technitas1"/>
      <sheetName val="D_Note-HO-B_Anne2"/>
      <sheetName val="D_Note-HO-Jean_Luc2"/>
      <sheetName val="D_Note-HO-Bruno2"/>
      <sheetName val="D_Note-HO-Jean_Francois2"/>
      <sheetName val="D_Note-BV_Japan2"/>
      <sheetName val="D_Note-MER2"/>
      <sheetName val="D_Note_-_Technitas2"/>
      <sheetName val="D_Note-HO-B_Anne3"/>
      <sheetName val="D_Note-HO-Jean_Luc3"/>
      <sheetName val="D_Note-HO-Bruno3"/>
      <sheetName val="D_Note-HO-Jean_Francois3"/>
      <sheetName val="D_Note-BV_Japan3"/>
      <sheetName val="D_Note-MER3"/>
      <sheetName val="D_Note_-_Technitas3"/>
      <sheetName val="D_Note-HO-B_Anne4"/>
      <sheetName val="D_Note-HO-Jean_Luc4"/>
      <sheetName val="D_Note-HO-Bruno4"/>
      <sheetName val="D_Note-HO-Jean_Francois4"/>
      <sheetName val="D_Note-BV_Japan4"/>
      <sheetName val="D_Note-MER4"/>
      <sheetName val="D_Note_-_Technitas4"/>
      <sheetName val="D_Note-HO-B_Anne5"/>
      <sheetName val="D_Note-HO-Jean_Luc5"/>
      <sheetName val="D_Note-HO-Bruno5"/>
      <sheetName val="D_Note-HO-Jean_Francois5"/>
      <sheetName val="D_Note-BV_Japan5"/>
      <sheetName val="D_Note-MER5"/>
      <sheetName val="D_Note_-_Technitas5"/>
    </sheetNames>
    <sheetDataSet>
      <sheetData sheetId="0">
        <row r="28">
          <cell r="H28">
            <v>1213.7723691460055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7">
          <cell r="H3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8">
          <cell r="H28">
            <v>1213.7723691460055</v>
          </cell>
        </row>
      </sheetData>
      <sheetData sheetId="11"/>
      <sheetData sheetId="12"/>
      <sheetData sheetId="13"/>
      <sheetData sheetId="14"/>
      <sheetData sheetId="15"/>
      <sheetData sheetId="16"/>
      <sheetData sheetId="17">
        <row r="28">
          <cell r="H28">
            <v>1213.7723691460055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28">
          <cell r="H28">
            <v>1213.7723691460055</v>
          </cell>
        </row>
      </sheetData>
      <sheetData sheetId="25"/>
      <sheetData sheetId="26"/>
      <sheetData sheetId="27"/>
      <sheetData sheetId="28"/>
      <sheetData sheetId="29"/>
      <sheetData sheetId="30"/>
      <sheetData sheetId="31">
        <row r="28">
          <cell r="H28">
            <v>1213.7723691460055</v>
          </cell>
        </row>
      </sheetData>
      <sheetData sheetId="32"/>
      <sheetData sheetId="33"/>
      <sheetData sheetId="34"/>
      <sheetData sheetId="35"/>
      <sheetData sheetId="36"/>
      <sheetData sheetId="37"/>
      <sheetData sheetId="38">
        <row r="28">
          <cell r="H28">
            <v>1213.7723691460055</v>
          </cell>
        </row>
      </sheetData>
      <sheetData sheetId="39"/>
      <sheetData sheetId="40"/>
      <sheetData sheetId="41"/>
      <sheetData sheetId="42"/>
      <sheetData sheetId="43"/>
      <sheetData sheetId="44"/>
      <sheetData sheetId="45">
        <row r="28">
          <cell r="H28">
            <v>1213.7723691460055</v>
          </cell>
        </row>
      </sheetData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.Note-HO-B.Anne"/>
      <sheetName val="D.Note-HO-Jean Luc"/>
      <sheetName val="D.Note-HO-Bruno"/>
      <sheetName val="D.Note-HO-Jean Francois"/>
      <sheetName val="D.Note-BV Japan"/>
      <sheetName val="D.Note-MER"/>
      <sheetName val="D.Note - Technitas"/>
      <sheetName val="Sheet1"/>
      <sheetName val="Sheet2"/>
      <sheetName val="Sheet3"/>
    </sheetNames>
    <sheetDataSet>
      <sheetData sheetId="0">
        <row r="28">
          <cell r="H28">
            <v>1213.7723691460055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7">
          <cell r="H3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"/>
      <sheetName val="L3"/>
      <sheetName val="L4"/>
      <sheetName val="L6"/>
      <sheetName val="W1"/>
      <sheetName val="Sheet2"/>
      <sheetName val="Sheet3"/>
      <sheetName val="L2"/>
      <sheetName val="HO"/>
      <sheetName val="L1"/>
      <sheetName val="L2."/>
      <sheetName val="LVQ"/>
      <sheetName val="L7"/>
      <sheetName val="R1"/>
      <sheetName val="R2"/>
      <sheetName val="R4 "/>
      <sheetName val="R6"/>
      <sheetName val="R7"/>
      <sheetName val="R8"/>
      <sheetName val="R9"/>
      <sheetName val="R10"/>
      <sheetName val="R11"/>
      <sheetName val="Summary 2013 Pivot"/>
      <sheetName val="Summary 2014 Pivot"/>
      <sheetName val="Summary - All"/>
      <sheetName val="R12"/>
      <sheetName val="R13"/>
      <sheetName val="Sheet1"/>
      <sheetName val="R14"/>
      <sheetName val="R15"/>
      <sheetName val="R16"/>
      <sheetName val="Sheet4"/>
      <sheetName val="L2_"/>
      <sheetName val="R4_"/>
      <sheetName val="Summary_2013_Pivot"/>
      <sheetName val="Summary_2014_Pivot"/>
      <sheetName val="Summary_-_All"/>
      <sheetName val="L2_7"/>
      <sheetName val="R4_7"/>
      <sheetName val="Summary_2013_Pivot7"/>
      <sheetName val="Summary_2014_Pivot7"/>
      <sheetName val="Summary_-_All7"/>
      <sheetName val="L2_1"/>
      <sheetName val="R4_1"/>
      <sheetName val="Summary_2013_Pivot1"/>
      <sheetName val="Summary_2014_Pivot1"/>
      <sheetName val="Summary_-_All1"/>
      <sheetName val="L2_2"/>
      <sheetName val="R4_2"/>
      <sheetName val="Summary_2013_Pivot2"/>
      <sheetName val="Summary_2014_Pivot2"/>
      <sheetName val="Summary_-_All2"/>
      <sheetName val="L2_5"/>
      <sheetName val="R4_5"/>
      <sheetName val="Summary_2013_Pivot5"/>
      <sheetName val="Summary_2014_Pivot5"/>
      <sheetName val="Summary_-_All5"/>
      <sheetName val="L2_3"/>
      <sheetName val="R4_3"/>
      <sheetName val="Summary_2013_Pivot3"/>
      <sheetName val="Summary_2014_Pivot3"/>
      <sheetName val="Summary_-_All3"/>
      <sheetName val="L2_4"/>
      <sheetName val="R4_4"/>
      <sheetName val="Summary_2013_Pivot4"/>
      <sheetName val="Summary_2014_Pivot4"/>
      <sheetName val="Summary_-_All4"/>
      <sheetName val="L2_6"/>
      <sheetName val="R4_6"/>
      <sheetName val="Summary_2013_Pivot6"/>
      <sheetName val="Summary_2014_Pivot6"/>
      <sheetName val="Summary_-_All6"/>
      <sheetName val="L2_8"/>
      <sheetName val="R4_8"/>
      <sheetName val="Summary_2013_Pivot8"/>
      <sheetName val="Summary_2014_Pivot8"/>
      <sheetName val="Summary_-_All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 t="str">
            <v>Date</v>
          </cell>
          <cell r="F1" t="str">
            <v>Memo</v>
          </cell>
          <cell r="H1" t="str">
            <v>Debit</v>
          </cell>
          <cell r="I1" t="str">
            <v>Dep Prd</v>
          </cell>
          <cell r="J1" t="str">
            <v>Dep PM</v>
          </cell>
          <cell r="K1">
            <v>39387</v>
          </cell>
          <cell r="L1">
            <v>39417</v>
          </cell>
          <cell r="M1">
            <v>39448</v>
          </cell>
          <cell r="N1">
            <v>39479</v>
          </cell>
          <cell r="O1">
            <v>39508</v>
          </cell>
          <cell r="P1">
            <v>39539</v>
          </cell>
          <cell r="Q1">
            <v>39569</v>
          </cell>
          <cell r="R1">
            <v>39600</v>
          </cell>
          <cell r="S1">
            <v>39630</v>
          </cell>
          <cell r="T1">
            <v>39661</v>
          </cell>
          <cell r="U1">
            <v>39692</v>
          </cell>
          <cell r="V1">
            <v>39722</v>
          </cell>
          <cell r="W1">
            <v>39753</v>
          </cell>
          <cell r="X1">
            <v>39783</v>
          </cell>
          <cell r="Y1">
            <v>39814</v>
          </cell>
          <cell r="Z1">
            <v>39845</v>
          </cell>
          <cell r="AA1">
            <v>39873</v>
          </cell>
          <cell r="AB1">
            <v>39904</v>
          </cell>
          <cell r="AC1">
            <v>39934</v>
          </cell>
          <cell r="AD1">
            <v>39965</v>
          </cell>
          <cell r="AE1">
            <v>39995</v>
          </cell>
          <cell r="AF1">
            <v>40026</v>
          </cell>
          <cell r="AG1">
            <v>40057</v>
          </cell>
          <cell r="AH1">
            <v>40087</v>
          </cell>
          <cell r="AI1">
            <v>40118</v>
          </cell>
          <cell r="AJ1">
            <v>40148</v>
          </cell>
          <cell r="AK1">
            <v>40179</v>
          </cell>
          <cell r="AL1">
            <v>40210</v>
          </cell>
          <cell r="AM1">
            <v>40238</v>
          </cell>
          <cell r="AN1">
            <v>40269</v>
          </cell>
          <cell r="AO1">
            <v>40299</v>
          </cell>
          <cell r="AP1">
            <v>40330</v>
          </cell>
          <cell r="AQ1">
            <v>40360</v>
          </cell>
          <cell r="AR1">
            <v>40391</v>
          </cell>
          <cell r="AS1">
            <v>40422</v>
          </cell>
          <cell r="AT1">
            <v>40461</v>
          </cell>
          <cell r="AU1" t="str">
            <v>Nov-10</v>
          </cell>
          <cell r="AV1">
            <v>40513</v>
          </cell>
          <cell r="AW1">
            <v>40544</v>
          </cell>
          <cell r="AX1">
            <v>40575</v>
          </cell>
          <cell r="AY1">
            <v>40603</v>
          </cell>
          <cell r="AZ1">
            <v>40634</v>
          </cell>
          <cell r="BA1">
            <v>40664</v>
          </cell>
          <cell r="BB1">
            <v>40695</v>
          </cell>
          <cell r="BC1">
            <v>40725</v>
          </cell>
          <cell r="BD1">
            <v>40756</v>
          </cell>
          <cell r="BE1">
            <v>40787</v>
          </cell>
          <cell r="BF1">
            <v>40817</v>
          </cell>
          <cell r="BG1">
            <v>40848</v>
          </cell>
          <cell r="BH1">
            <v>40878</v>
          </cell>
          <cell r="BI1">
            <v>40909</v>
          </cell>
          <cell r="BJ1">
            <v>40940</v>
          </cell>
          <cell r="BK1">
            <v>40969</v>
          </cell>
          <cell r="BL1">
            <v>41000</v>
          </cell>
          <cell r="BM1">
            <v>41030</v>
          </cell>
          <cell r="BN1">
            <v>41061</v>
          </cell>
          <cell r="BO1">
            <v>41091</v>
          </cell>
          <cell r="BP1">
            <v>41122</v>
          </cell>
          <cell r="BQ1">
            <v>41153</v>
          </cell>
          <cell r="BR1">
            <v>41183</v>
          </cell>
          <cell r="BS1">
            <v>41214</v>
          </cell>
          <cell r="BT1">
            <v>41244</v>
          </cell>
          <cell r="BU1">
            <v>41275</v>
          </cell>
          <cell r="BV1">
            <v>41306</v>
          </cell>
          <cell r="BW1">
            <v>41334</v>
          </cell>
          <cell r="BX1">
            <v>41365</v>
          </cell>
          <cell r="BY1">
            <v>41395</v>
          </cell>
          <cell r="BZ1">
            <v>41426</v>
          </cell>
          <cell r="CA1">
            <v>41456</v>
          </cell>
          <cell r="CB1">
            <v>41487</v>
          </cell>
          <cell r="CC1">
            <v>41518</v>
          </cell>
          <cell r="CD1">
            <v>41548</v>
          </cell>
          <cell r="CE1">
            <v>41579</v>
          </cell>
          <cell r="CF1">
            <v>41609</v>
          </cell>
          <cell r="CG1">
            <v>41640</v>
          </cell>
          <cell r="CH1">
            <v>41671</v>
          </cell>
          <cell r="CI1">
            <v>41699</v>
          </cell>
          <cell r="CJ1">
            <v>41730</v>
          </cell>
          <cell r="CK1">
            <v>41760</v>
          </cell>
          <cell r="CL1">
            <v>41791</v>
          </cell>
          <cell r="CM1">
            <v>41821</v>
          </cell>
          <cell r="CN1">
            <v>41852</v>
          </cell>
          <cell r="CO1">
            <v>41883</v>
          </cell>
          <cell r="CP1">
            <v>41913</v>
          </cell>
          <cell r="CQ1">
            <v>41944</v>
          </cell>
          <cell r="CR1">
            <v>41974</v>
          </cell>
          <cell r="CS1">
            <v>42005</v>
          </cell>
          <cell r="CT1">
            <v>42036</v>
          </cell>
          <cell r="CU1">
            <v>42064</v>
          </cell>
          <cell r="CV1">
            <v>42095</v>
          </cell>
          <cell r="CW1">
            <v>42125</v>
          </cell>
          <cell r="CX1">
            <v>42156</v>
          </cell>
          <cell r="CY1">
            <v>42186</v>
          </cell>
          <cell r="CZ1">
            <v>42217</v>
          </cell>
          <cell r="DA1">
            <v>42248</v>
          </cell>
          <cell r="DB1">
            <v>42278</v>
          </cell>
          <cell r="DC1">
            <v>42309</v>
          </cell>
          <cell r="DD1">
            <v>42339</v>
          </cell>
        </row>
        <row r="3">
          <cell r="A3" t="str">
            <v>1670 · Computer and Office -Gross</v>
          </cell>
        </row>
        <row r="4">
          <cell r="A4">
            <v>60</v>
          </cell>
        </row>
        <row r="5">
          <cell r="A5">
            <v>60</v>
          </cell>
        </row>
        <row r="6">
          <cell r="A6">
            <v>60</v>
          </cell>
        </row>
        <row r="7">
          <cell r="A7">
            <v>60</v>
          </cell>
        </row>
        <row r="8">
          <cell r="A8">
            <v>60</v>
          </cell>
        </row>
        <row r="9">
          <cell r="A9">
            <v>60</v>
          </cell>
        </row>
        <row r="10">
          <cell r="A10">
            <v>60</v>
          </cell>
        </row>
        <row r="11">
          <cell r="A11">
            <v>60</v>
          </cell>
        </row>
        <row r="12">
          <cell r="A12">
            <v>60</v>
          </cell>
        </row>
        <row r="13">
          <cell r="A13">
            <v>60</v>
          </cell>
        </row>
        <row r="14">
          <cell r="A14">
            <v>60</v>
          </cell>
        </row>
        <row r="15">
          <cell r="A15">
            <v>60</v>
          </cell>
        </row>
        <row r="16">
          <cell r="A16">
            <v>60</v>
          </cell>
        </row>
        <row r="17">
          <cell r="A17">
            <v>48</v>
          </cell>
        </row>
        <row r="18">
          <cell r="A18">
            <v>23</v>
          </cell>
        </row>
        <row r="19">
          <cell r="A19">
            <v>21</v>
          </cell>
        </row>
        <row r="20">
          <cell r="A20">
            <v>9</v>
          </cell>
        </row>
        <row r="21">
          <cell r="A21">
            <v>2</v>
          </cell>
        </row>
        <row r="22">
          <cell r="A22" t="str">
            <v>Total</v>
          </cell>
        </row>
        <row r="25">
          <cell r="A25" t="str">
            <v>1700 · Electric Equipments- Gross</v>
          </cell>
        </row>
        <row r="26">
          <cell r="A26">
            <v>60</v>
          </cell>
        </row>
        <row r="27">
          <cell r="A27">
            <v>60</v>
          </cell>
        </row>
        <row r="28">
          <cell r="A28">
            <v>60</v>
          </cell>
        </row>
        <row r="29">
          <cell r="A29">
            <v>59</v>
          </cell>
        </row>
        <row r="30">
          <cell r="A30">
            <v>58</v>
          </cell>
        </row>
        <row r="31">
          <cell r="A31">
            <v>56</v>
          </cell>
        </row>
        <row r="32">
          <cell r="A32">
            <v>54</v>
          </cell>
        </row>
        <row r="33">
          <cell r="A33">
            <v>52</v>
          </cell>
        </row>
        <row r="34">
          <cell r="A34">
            <v>27</v>
          </cell>
        </row>
        <row r="35">
          <cell r="A35">
            <v>27</v>
          </cell>
        </row>
        <row r="36">
          <cell r="A36">
            <v>23</v>
          </cell>
        </row>
        <row r="37">
          <cell r="A37">
            <v>17</v>
          </cell>
        </row>
        <row r="38">
          <cell r="A38">
            <v>17</v>
          </cell>
        </row>
        <row r="39">
          <cell r="A39">
            <v>12</v>
          </cell>
        </row>
        <row r="40">
          <cell r="A40" t="str">
            <v>Total</v>
          </cell>
        </row>
        <row r="43">
          <cell r="A43" t="str">
            <v>1740 · Freezers and Chillers- Gross</v>
          </cell>
        </row>
        <row r="44">
          <cell r="A44">
            <v>60</v>
          </cell>
        </row>
        <row r="45">
          <cell r="A45">
            <v>24</v>
          </cell>
        </row>
        <row r="46">
          <cell r="A46" t="str">
            <v>Total</v>
          </cell>
        </row>
        <row r="49">
          <cell r="A49" t="str">
            <v>1770 · Furniture- Gross</v>
          </cell>
        </row>
        <row r="50">
          <cell r="A50">
            <v>60</v>
          </cell>
        </row>
        <row r="51">
          <cell r="A51">
            <v>60</v>
          </cell>
        </row>
        <row r="52">
          <cell r="A52">
            <v>60</v>
          </cell>
        </row>
        <row r="53">
          <cell r="A53">
            <v>60</v>
          </cell>
        </row>
        <row r="54">
          <cell r="A54">
            <v>60</v>
          </cell>
        </row>
        <row r="55">
          <cell r="A55">
            <v>41</v>
          </cell>
        </row>
        <row r="56">
          <cell r="A56">
            <v>31</v>
          </cell>
        </row>
        <row r="57">
          <cell r="A57">
            <v>21</v>
          </cell>
        </row>
        <row r="58">
          <cell r="A58">
            <v>10</v>
          </cell>
        </row>
        <row r="59">
          <cell r="A59">
            <v>5</v>
          </cell>
        </row>
        <row r="60">
          <cell r="A60">
            <v>4</v>
          </cell>
        </row>
        <row r="61">
          <cell r="A61" t="str">
            <v>Total</v>
          </cell>
        </row>
        <row r="64">
          <cell r="A64" t="str">
            <v>1800 · Interiors &amp; Develop- Gross</v>
          </cell>
        </row>
        <row r="65">
          <cell r="A65">
            <v>60</v>
          </cell>
        </row>
        <row r="66">
          <cell r="A66">
            <v>60</v>
          </cell>
        </row>
        <row r="67">
          <cell r="A67">
            <v>60</v>
          </cell>
        </row>
        <row r="68">
          <cell r="A68">
            <v>60</v>
          </cell>
        </row>
        <row r="69">
          <cell r="A69">
            <v>60</v>
          </cell>
        </row>
        <row r="70">
          <cell r="A70">
            <v>60</v>
          </cell>
        </row>
        <row r="71">
          <cell r="A71">
            <v>60</v>
          </cell>
        </row>
        <row r="72">
          <cell r="A72">
            <v>60</v>
          </cell>
        </row>
        <row r="73">
          <cell r="A73">
            <v>60</v>
          </cell>
        </row>
        <row r="74">
          <cell r="A74">
            <v>45</v>
          </cell>
        </row>
        <row r="75">
          <cell r="A75">
            <v>10</v>
          </cell>
        </row>
        <row r="76">
          <cell r="A76" t="str">
            <v>Total</v>
          </cell>
        </row>
        <row r="79">
          <cell r="A79" t="str">
            <v>1830 · Machinery- Gross</v>
          </cell>
        </row>
        <row r="80">
          <cell r="A80">
            <v>60</v>
          </cell>
        </row>
        <row r="81">
          <cell r="A81">
            <v>60</v>
          </cell>
        </row>
        <row r="82">
          <cell r="A82">
            <v>60</v>
          </cell>
        </row>
        <row r="83">
          <cell r="A83">
            <v>29</v>
          </cell>
        </row>
        <row r="84">
          <cell r="A84" t="str">
            <v>Total</v>
          </cell>
        </row>
        <row r="87">
          <cell r="A87" t="str">
            <v>1890 · Racks and Fittings- Gross</v>
          </cell>
        </row>
        <row r="88">
          <cell r="A88">
            <v>60</v>
          </cell>
        </row>
        <row r="89">
          <cell r="A89">
            <v>60</v>
          </cell>
        </row>
        <row r="90">
          <cell r="A90">
            <v>60</v>
          </cell>
        </row>
        <row r="91">
          <cell r="A91">
            <v>60</v>
          </cell>
        </row>
        <row r="92">
          <cell r="A92">
            <v>60</v>
          </cell>
        </row>
        <row r="93">
          <cell r="A93">
            <v>60</v>
          </cell>
        </row>
        <row r="94">
          <cell r="A94">
            <v>60</v>
          </cell>
        </row>
        <row r="95">
          <cell r="A95">
            <v>60</v>
          </cell>
        </row>
        <row r="96">
          <cell r="A96">
            <v>44</v>
          </cell>
        </row>
        <row r="97">
          <cell r="A97">
            <v>44</v>
          </cell>
        </row>
        <row r="98">
          <cell r="A98" t="str">
            <v>Total</v>
          </cell>
        </row>
        <row r="102">
          <cell r="A102" t="str">
            <v>Grand Total</v>
          </cell>
        </row>
        <row r="104">
          <cell r="A104" t="str">
            <v>Asset Closing Value (FLATE RATE METHOD)</v>
          </cell>
        </row>
        <row r="107">
          <cell r="A107" t="str">
            <v>J
A
N
-
2012</v>
          </cell>
        </row>
        <row r="119">
          <cell r="A119" t="str">
            <v>F
E
B
-
2012</v>
          </cell>
        </row>
        <row r="131">
          <cell r="A131" t="str">
            <v>M
A
R
-
2012</v>
          </cell>
        </row>
        <row r="143">
          <cell r="A143" t="str">
            <v>A
P
R
-
2012</v>
          </cell>
        </row>
        <row r="155">
          <cell r="A155" t="str">
            <v>M
A
Y
-
2012</v>
          </cell>
        </row>
        <row r="167">
          <cell r="A167" t="str">
            <v>JUNE
2012</v>
          </cell>
        </row>
        <row r="179">
          <cell r="A179" t="str">
            <v>JULY
2012</v>
          </cell>
        </row>
        <row r="191">
          <cell r="A191" t="str">
            <v>AUG
2012</v>
          </cell>
        </row>
        <row r="203">
          <cell r="A203" t="str">
            <v>SEPT
2012</v>
          </cell>
        </row>
        <row r="215">
          <cell r="A215" t="str">
            <v>OCT
2012</v>
          </cell>
        </row>
        <row r="227">
          <cell r="A227" t="str">
            <v>NOV
2012</v>
          </cell>
        </row>
        <row r="239">
          <cell r="A239" t="str">
            <v>DEC
2012</v>
          </cell>
        </row>
        <row r="251">
          <cell r="A251" t="str">
            <v>JAN
2013</v>
          </cell>
        </row>
        <row r="263">
          <cell r="A263" t="str">
            <v>FEB
2013</v>
          </cell>
        </row>
        <row r="275">
          <cell r="A275" t="str">
            <v>MAR
2013</v>
          </cell>
        </row>
        <row r="287">
          <cell r="A287" t="str">
            <v>APR
2013</v>
          </cell>
        </row>
        <row r="299">
          <cell r="A299" t="str">
            <v>MAY
2013</v>
          </cell>
        </row>
        <row r="311">
          <cell r="A311" t="str">
            <v>JUNE
2013</v>
          </cell>
        </row>
        <row r="323">
          <cell r="A323" t="str">
            <v>JULY
2013</v>
          </cell>
        </row>
        <row r="335">
          <cell r="A335" t="str">
            <v>AUGUST
2013</v>
          </cell>
        </row>
        <row r="347">
          <cell r="A347" t="str">
            <v>SEPTEMBER
2013</v>
          </cell>
        </row>
        <row r="359">
          <cell r="A359" t="str">
            <v>OCTOBER
2013</v>
          </cell>
        </row>
        <row r="371">
          <cell r="A371" t="str">
            <v>NOVEMBER
2013</v>
          </cell>
        </row>
        <row r="383">
          <cell r="A383" t="str">
            <v>DECEMBER
2013</v>
          </cell>
        </row>
        <row r="395">
          <cell r="A395" t="str">
            <v>JANUARY
2014</v>
          </cell>
        </row>
        <row r="407">
          <cell r="A407" t="str">
            <v>FEBRUARY
2014</v>
          </cell>
        </row>
        <row r="419">
          <cell r="A419" t="str">
            <v>MARCH
2014</v>
          </cell>
        </row>
        <row r="431">
          <cell r="A431" t="str">
            <v>APRIL
2014</v>
          </cell>
        </row>
        <row r="443">
          <cell r="A443" t="str">
            <v>MAY
2014</v>
          </cell>
        </row>
        <row r="455">
          <cell r="A455" t="str">
            <v>JUN
2014</v>
          </cell>
        </row>
        <row r="467">
          <cell r="A467" t="str">
            <v>JULY
2014</v>
          </cell>
        </row>
        <row r="479">
          <cell r="A479" t="str">
            <v>AUGUST
2014</v>
          </cell>
        </row>
        <row r="491">
          <cell r="A491" t="str">
            <v>SEPTEMBER
2014</v>
          </cell>
        </row>
        <row r="503">
          <cell r="A503" t="str">
            <v>OCTOBER
2014</v>
          </cell>
        </row>
        <row r="515">
          <cell r="A515" t="str">
            <v>NOVEMBER
2014</v>
          </cell>
        </row>
        <row r="527">
          <cell r="A527" t="str">
            <v>DECEMBER
2014</v>
          </cell>
        </row>
        <row r="539">
          <cell r="A539" t="str">
            <v>JANUARY
2015</v>
          </cell>
        </row>
        <row r="551">
          <cell r="A551" t="str">
            <v>FEBRUARY
2015</v>
          </cell>
        </row>
        <row r="563">
          <cell r="A563" t="str">
            <v>MARCH
2015</v>
          </cell>
        </row>
        <row r="575">
          <cell r="A575" t="str">
            <v>APRIL
2015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try1"/>
      <sheetName val="Invtry2"/>
      <sheetName val="Invtry3"/>
      <sheetName val="VchrFrmts"/>
      <sheetName val="RgstrsFrmt"/>
      <sheetName val="InvFrmt"/>
      <sheetName val="Tel"/>
      <sheetName val="Acknl"/>
      <sheetName val="MSFrmt"/>
      <sheetName val="ClfctnAra"/>
      <sheetName val="MntlyRpt"/>
      <sheetName val="ExpStatFrm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try1"/>
      <sheetName val="Invtry2"/>
      <sheetName val="Invtry3"/>
      <sheetName val="VchrFrmts"/>
      <sheetName val="RgstrsFrmt"/>
      <sheetName val="InvFrmt"/>
      <sheetName val="Tel"/>
      <sheetName val="Acknl"/>
      <sheetName val="MSFrmt"/>
      <sheetName val="ClfctnAra"/>
      <sheetName val="MntlyRpt"/>
      <sheetName val="ExpStatFrmt"/>
      <sheetName val="Sheet2"/>
      <sheetName val="IELTS"/>
      <sheetName val="Gener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F&amp;B"/>
      <sheetName val="A&amp;G"/>
      <sheetName val="HR"/>
      <sheetName val="ENG"/>
      <sheetName val="Lookup"/>
      <sheetName val="INDEX"/>
      <sheetName val="P&amp;L"/>
      <sheetName val="PL Sumry"/>
      <sheetName val="Sheet1"/>
      <sheetName val="Bal Sheet"/>
      <sheetName val="BS Sumry"/>
      <sheetName val="TB"/>
      <sheetName val="Financial KPI's"/>
      <sheetName val="Account Inquiry"/>
      <sheetName val="Aging"/>
      <sheetName val="Ls_XLB_WorkbookFile"/>
      <sheetName val="PL_Sumry9"/>
      <sheetName val="Bal_Sheet9"/>
      <sheetName val="BS_Sumry9"/>
      <sheetName val="Financial_KPI's9"/>
      <sheetName val="Account_Inquiry9"/>
      <sheetName val="PL_Sumry"/>
      <sheetName val="Bal_Sheet"/>
      <sheetName val="BS_Sumry"/>
      <sheetName val="Financial_KPI's"/>
      <sheetName val="Account_Inquiry"/>
      <sheetName val="PL_Sumry1"/>
      <sheetName val="Bal_Sheet1"/>
      <sheetName val="BS_Sumry1"/>
      <sheetName val="Financial_KPI's1"/>
      <sheetName val="Account_Inquiry1"/>
      <sheetName val="PL_Sumry2"/>
      <sheetName val="Bal_Sheet2"/>
      <sheetName val="BS_Sumry2"/>
      <sheetName val="Financial_KPI's2"/>
      <sheetName val="Account_Inquiry2"/>
      <sheetName val="PL_Sumry3"/>
      <sheetName val="Bal_Sheet3"/>
      <sheetName val="BS_Sumry3"/>
      <sheetName val="Financial_KPI's3"/>
      <sheetName val="Account_Inquiry3"/>
      <sheetName val="PL_Sumry4"/>
      <sheetName val="Bal_Sheet4"/>
      <sheetName val="BS_Sumry4"/>
      <sheetName val="Financial_KPI's4"/>
      <sheetName val="Account_Inquiry4"/>
      <sheetName val="PL_Sumry5"/>
      <sheetName val="Bal_Sheet5"/>
      <sheetName val="BS_Sumry5"/>
      <sheetName val="Financial_KPI's5"/>
      <sheetName val="Account_Inquiry5"/>
      <sheetName val="PL_Sumry6"/>
      <sheetName val="Bal_Sheet6"/>
      <sheetName val="BS_Sumry6"/>
      <sheetName val="Financial_KPI's6"/>
      <sheetName val="Account_Inquiry6"/>
      <sheetName val="PL_Sumry7"/>
      <sheetName val="Bal_Sheet7"/>
      <sheetName val="BS_Sumry7"/>
      <sheetName val="Financial_KPI's7"/>
      <sheetName val="Account_Inquiry7"/>
      <sheetName val="PL_Sumry8"/>
      <sheetName val="Bal_Sheet8"/>
      <sheetName val="BS_Sumry8"/>
      <sheetName val="Financial_KPI's8"/>
      <sheetName val="Account_Inquiry8"/>
      <sheetName val="PL_Sumry10"/>
      <sheetName val="Bal_Sheet10"/>
      <sheetName val="BS_Sumry10"/>
      <sheetName val="Financial_KPI's10"/>
      <sheetName val="Account_Inquiry10"/>
      <sheetName val="PL_Sumry11"/>
      <sheetName val="Bal_Sheet11"/>
      <sheetName val="BS_Sumry11"/>
      <sheetName val="Financial_KPI's11"/>
      <sheetName val="Account_Inquiry11"/>
      <sheetName val="PL_Sumry12"/>
      <sheetName val="Bal_Sheet12"/>
      <sheetName val="BS_Sumry12"/>
      <sheetName val="Financial_KPI's12"/>
      <sheetName val="Account_Inquiry12"/>
      <sheetName val="PL_Sumry13"/>
      <sheetName val="Bal_Sheet13"/>
      <sheetName val="BS_Sumry13"/>
      <sheetName val="Financial_KPI's13"/>
      <sheetName val="Account_Inquiry13"/>
      <sheetName val="PL_Sumry14"/>
      <sheetName val="Bal_Sheet14"/>
      <sheetName val="BS_Sumry14"/>
      <sheetName val="Financial_KPI's14"/>
      <sheetName val="Account_Inquiry14"/>
      <sheetName val="PL_Sumry15"/>
      <sheetName val="Bal_Sheet15"/>
      <sheetName val="BS_Sumry15"/>
      <sheetName val="Financial_KPI's15"/>
      <sheetName val="Account_Inquiry15"/>
      <sheetName val="PL_Sumry16"/>
      <sheetName val="Bal_Sheet16"/>
      <sheetName val="BS_Sumry16"/>
      <sheetName val="Financial_KPI's16"/>
      <sheetName val="Account_Inquiry16"/>
      <sheetName val="PL_Sumry18"/>
      <sheetName val="Bal_Sheet18"/>
      <sheetName val="BS_Sumry18"/>
      <sheetName val="Financial_KPI's18"/>
      <sheetName val="Account_Inquiry18"/>
      <sheetName val="PL_Sumry17"/>
      <sheetName val="Bal_Sheet17"/>
      <sheetName val="BS_Sumry17"/>
      <sheetName val="Financial_KPI's17"/>
      <sheetName val="Account_Inquiry17"/>
      <sheetName val="PL_Sumry19"/>
      <sheetName val="Bal_Sheet19"/>
      <sheetName val="BS_Sumry19"/>
      <sheetName val="Financial_KPI's19"/>
      <sheetName val="Account_Inquiry19"/>
      <sheetName val="PL_Sumry20"/>
      <sheetName val="Bal_Sheet20"/>
      <sheetName val="BS_Sumry20"/>
      <sheetName val="Financial_KPI's20"/>
      <sheetName val="Account_Inquiry20"/>
      <sheetName val="PL_Sumry22"/>
      <sheetName val="Bal_Sheet22"/>
      <sheetName val="BS_Sumry22"/>
      <sheetName val="Financial_KPI's22"/>
      <sheetName val="Account_Inquiry22"/>
      <sheetName val="PL_Sumry21"/>
      <sheetName val="Bal_Sheet21"/>
      <sheetName val="BS_Sumry21"/>
      <sheetName val="Financial_KPI's21"/>
      <sheetName val="Account_Inquiry21"/>
      <sheetName val="PL_Sumry23"/>
      <sheetName val="Bal_Sheet23"/>
      <sheetName val="BS_Sumry23"/>
      <sheetName val="Financial_KPI's23"/>
      <sheetName val="Account_Inquiry23"/>
      <sheetName val="PL_Sumry24"/>
      <sheetName val="Bal_Sheet24"/>
      <sheetName val="BS_Sumry24"/>
      <sheetName val="Financial_KPI's24"/>
      <sheetName val="Account_Inquiry24"/>
      <sheetName val="PL_Sumry25"/>
      <sheetName val="Bal_Sheet25"/>
      <sheetName val="BS_Sumry25"/>
      <sheetName val="Financial_KPI's25"/>
      <sheetName val="Account_Inquiry25"/>
      <sheetName val="PL_Sumry26"/>
      <sheetName val="Bal_Sheet26"/>
      <sheetName val="BS_Sumry26"/>
      <sheetName val="Financial_KPI's26"/>
      <sheetName val="Account_Inquiry26"/>
      <sheetName val="PL_Sumry27"/>
      <sheetName val="Bal_Sheet27"/>
      <sheetName val="BS_Sumry27"/>
      <sheetName val="Financial_KPI's27"/>
      <sheetName val="Account_Inquiry27"/>
      <sheetName val="bs"/>
      <sheetName val="PL_Sumry28"/>
      <sheetName val="Bal_Sheet28"/>
      <sheetName val="BS_Sumry28"/>
      <sheetName val="Financial_KPI's28"/>
      <sheetName val="Account_Inquiry28"/>
    </sheetNames>
    <sheetDataSet>
      <sheetData sheetId="0">
        <row r="3">
          <cell r="B3" t="str">
            <v>LPQ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5">
          <cell r="D15" t="str">
            <v>30</v>
          </cell>
        </row>
        <row r="16">
          <cell r="D16">
            <v>30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/>
      <sheetData sheetId="159"/>
      <sheetData sheetId="160"/>
      <sheetData sheetId="161"/>
      <sheetData sheetId="16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dc"/>
      <sheetName val="a-dc"/>
      <sheetName val="gb-dc"/>
      <sheetName val="w-nr"/>
      <sheetName val="a-nr"/>
      <sheetName val="gb-nr"/>
      <sheetName val="w-c"/>
      <sheetName val="a-c"/>
      <sheetName val="gb-c"/>
      <sheetName val="pc"/>
      <sheetName val="os"/>
      <sheetName val="no"/>
      <sheetName val="fer"/>
      <sheetName val="is"/>
      <sheetName val="bs"/>
      <sheetName val="note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dc"/>
      <sheetName val="a-dc"/>
      <sheetName val="gb-dc"/>
      <sheetName val="w-nr"/>
      <sheetName val="a-nr"/>
      <sheetName val="gb-nr"/>
      <sheetName val="w-c"/>
      <sheetName val="a-c"/>
      <sheetName val="gb-c"/>
      <sheetName val="pc"/>
      <sheetName val="os"/>
      <sheetName val="no"/>
      <sheetName val="fer"/>
      <sheetName val="is"/>
      <sheetName val="bs"/>
      <sheetName val="notes"/>
      <sheetName val="Sheet2"/>
      <sheetName val="IELTS"/>
      <sheetName val="General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/>
      <sheetData sheetId="17"/>
      <sheetData sheetId="1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ICE"/>
    </sheetNames>
    <sheetDataSet>
      <sheetData sheetId="0">
        <row r="2">
          <cell r="K2" t="str">
            <v xml:space="preserve">  1U$=\750</v>
          </cell>
        </row>
        <row r="4">
          <cell r="A4" t="str">
            <v xml:space="preserve">      項     目</v>
          </cell>
          <cell r="D4" t="str">
            <v xml:space="preserve">   算        出        根        據</v>
          </cell>
          <cell r="K4" t="str">
            <v xml:space="preserve">    備    考</v>
          </cell>
        </row>
        <row r="9">
          <cell r="A9">
            <v>0</v>
          </cell>
          <cell r="C9" t="str">
            <v xml:space="preserve">         區     分</v>
          </cell>
          <cell r="D9" t="str">
            <v xml:space="preserve">     分</v>
          </cell>
          <cell r="E9" t="str">
            <v xml:space="preserve"> 單 價</v>
          </cell>
          <cell r="G9" t="str">
            <v>내  역</v>
          </cell>
          <cell r="I9" t="str">
            <v xml:space="preserve">  合  計</v>
          </cell>
        </row>
        <row r="10">
          <cell r="E10" t="str">
            <v xml:space="preserve"> (USD)</v>
          </cell>
          <cell r="F10" t="str">
            <v xml:space="preserve"> 人員</v>
          </cell>
          <cell r="G10" t="str">
            <v xml:space="preserve"> 回數</v>
          </cell>
          <cell r="H10" t="str">
            <v xml:space="preserve"> 日數</v>
          </cell>
          <cell r="I10" t="str">
            <v xml:space="preserve">  (USD)</v>
          </cell>
        </row>
        <row r="11">
          <cell r="A11" t="str">
            <v xml:space="preserve"> 1. TEST WITNESS</v>
          </cell>
          <cell r="C11">
            <v>0</v>
          </cell>
          <cell r="D11" t="str">
            <v xml:space="preserve">   항  공  료</v>
          </cell>
          <cell r="I11">
            <v>0</v>
          </cell>
        </row>
        <row r="12">
          <cell r="C12" t="str">
            <v xml:space="preserve">    韓  國</v>
          </cell>
          <cell r="D12" t="str">
            <v xml:space="preserve">   숙  박  비</v>
          </cell>
          <cell r="I12">
            <v>0</v>
          </cell>
        </row>
        <row r="13">
          <cell r="D13" t="str">
            <v xml:space="preserve">   식      비</v>
          </cell>
          <cell r="I13">
            <v>0</v>
          </cell>
        </row>
        <row r="14">
          <cell r="D14" t="str">
            <v xml:space="preserve">   기      타</v>
          </cell>
          <cell r="I14">
            <v>0</v>
          </cell>
        </row>
        <row r="15">
          <cell r="C15">
            <v>0</v>
          </cell>
          <cell r="I15">
            <v>0</v>
          </cell>
        </row>
        <row r="16">
          <cell r="C16">
            <v>0</v>
          </cell>
          <cell r="D16" t="str">
            <v>TEST WITNESS   計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 xml:space="preserve"> 2. SUPERVISION</v>
          </cell>
          <cell r="C17" t="str">
            <v xml:space="preserve">   RELAY</v>
          </cell>
          <cell r="D17" t="str">
            <v xml:space="preserve">   항  공  료</v>
          </cell>
          <cell r="I17">
            <v>0</v>
          </cell>
        </row>
        <row r="18">
          <cell r="C18">
            <v>0</v>
          </cell>
          <cell r="D18" t="str">
            <v xml:space="preserve">   감  리  비</v>
          </cell>
          <cell r="I18">
            <v>0</v>
          </cell>
        </row>
        <row r="20">
          <cell r="C20">
            <v>0</v>
          </cell>
          <cell r="I20">
            <v>0</v>
          </cell>
        </row>
        <row r="21">
          <cell r="C21" t="str">
            <v xml:space="preserve">            SUPERVISION    計</v>
          </cell>
          <cell r="I21">
            <v>0</v>
          </cell>
        </row>
        <row r="22">
          <cell r="A22" t="str">
            <v xml:space="preserve"> 3. COMPUTER SYSTEM</v>
          </cell>
          <cell r="D22" t="str">
            <v xml:space="preserve">   교  육  비</v>
          </cell>
          <cell r="I22">
            <v>0</v>
          </cell>
        </row>
        <row r="23">
          <cell r="D23" t="str">
            <v xml:space="preserve">  MAINTENANCE</v>
          </cell>
          <cell r="I23">
            <v>0</v>
          </cell>
        </row>
        <row r="24">
          <cell r="D24" t="str">
            <v xml:space="preserve">  SOFTWARE</v>
          </cell>
          <cell r="I24">
            <v>0</v>
          </cell>
        </row>
        <row r="25">
          <cell r="I25">
            <v>0</v>
          </cell>
        </row>
        <row r="26">
          <cell r="C26" t="str">
            <v xml:space="preserve">            COMPUTER SYSTEM 計</v>
          </cell>
          <cell r="I26">
            <v>0</v>
          </cell>
        </row>
        <row r="28">
          <cell r="D28" t="str">
            <v>合      計</v>
          </cell>
          <cell r="I28">
            <v>0</v>
          </cell>
        </row>
        <row r="30">
          <cell r="I30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 2014"/>
      <sheetName val="Revenue_2014"/>
      <sheetName val="Revenue_20141"/>
      <sheetName val="Revenue_20142"/>
      <sheetName val="Revenue_20143"/>
      <sheetName val="Revenue_20144"/>
      <sheetName val="Revenue_20145"/>
    </sheetNames>
    <sheetDataSet>
      <sheetData sheetId="0">
        <row r="5">
          <cell r="B5" t="str">
            <v>Contract revenue 2014-Ongoing contracts &amp; WIP</v>
          </cell>
        </row>
      </sheetData>
      <sheetData sheetId="1">
        <row r="5">
          <cell r="B5" t="str">
            <v>Contract revenue 2014-Ongoing contracts &amp; WIP</v>
          </cell>
        </row>
      </sheetData>
      <sheetData sheetId="2">
        <row r="5">
          <cell r="B5" t="str">
            <v>Contract revenue 2014-Ongoing contracts &amp; WIP</v>
          </cell>
        </row>
      </sheetData>
      <sheetData sheetId="3">
        <row r="5">
          <cell r="B5" t="str">
            <v>Contract revenue 2014-Ongoing contracts &amp; WIP</v>
          </cell>
        </row>
      </sheetData>
      <sheetData sheetId="4">
        <row r="5">
          <cell r="B5" t="str">
            <v>Contract revenue 2014-Ongoing contracts &amp; WIP</v>
          </cell>
        </row>
      </sheetData>
      <sheetData sheetId="5">
        <row r="5">
          <cell r="B5" t="str">
            <v>Contract revenue 2014-Ongoing contracts &amp; WIP</v>
          </cell>
        </row>
      </sheetData>
      <sheetData sheetId="6">
        <row r="5">
          <cell r="B5" t="str">
            <v>Contract revenue 2014-Ongoing contracts &amp; WIP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 2014"/>
      <sheetName val="Revenue 2015"/>
      <sheetName val="IMEC"/>
      <sheetName val="Revenue_2014"/>
      <sheetName val="Revenue_2015"/>
      <sheetName val="Revenue_20141"/>
      <sheetName val="Revenue_20151"/>
      <sheetName val="Revenue_20142"/>
      <sheetName val="Revenue_20152"/>
      <sheetName val="Revenue_20143"/>
      <sheetName val="Revenue_20153"/>
      <sheetName val="Revenue_20144"/>
      <sheetName val="Revenue_20154"/>
      <sheetName val="Revenue_20145"/>
      <sheetName val="Revenue_20155"/>
    </sheetNames>
    <sheetDataSet>
      <sheetData sheetId="0">
        <row r="8">
          <cell r="N8">
            <v>2673576</v>
          </cell>
        </row>
        <row r="9">
          <cell r="N9">
            <v>27926170.650000006</v>
          </cell>
        </row>
        <row r="10">
          <cell r="N10">
            <v>6909892.8136419002</v>
          </cell>
        </row>
        <row r="11">
          <cell r="N11">
            <v>10777400.229729692</v>
          </cell>
        </row>
        <row r="12">
          <cell r="N12">
            <v>2996675</v>
          </cell>
        </row>
        <row r="13">
          <cell r="N13">
            <v>6731460.2741573025</v>
          </cell>
        </row>
        <row r="14">
          <cell r="N14">
            <v>12748000</v>
          </cell>
        </row>
      </sheetData>
      <sheetData sheetId="1"/>
      <sheetData sheetId="2"/>
      <sheetData sheetId="3">
        <row r="8">
          <cell r="N8">
            <v>2673576</v>
          </cell>
        </row>
      </sheetData>
      <sheetData sheetId="4"/>
      <sheetData sheetId="5">
        <row r="8">
          <cell r="N8">
            <v>2673576</v>
          </cell>
        </row>
      </sheetData>
      <sheetData sheetId="6"/>
      <sheetData sheetId="7">
        <row r="8">
          <cell r="N8">
            <v>2673576</v>
          </cell>
        </row>
      </sheetData>
      <sheetData sheetId="8"/>
      <sheetData sheetId="9">
        <row r="8">
          <cell r="N8">
            <v>2673576</v>
          </cell>
        </row>
      </sheetData>
      <sheetData sheetId="10"/>
      <sheetData sheetId="11">
        <row r="8">
          <cell r="N8">
            <v>2673576</v>
          </cell>
        </row>
      </sheetData>
      <sheetData sheetId="12"/>
      <sheetData sheetId="13">
        <row r="8">
          <cell r="N8">
            <v>2673576</v>
          </cell>
        </row>
      </sheetData>
      <sheetData sheetId="1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ICE"/>
      <sheetName val="인상효1"/>
      <sheetName val="본사인상전"/>
      <sheetName val="C1"/>
      <sheetName val="seting MP"/>
      <sheetName val="간접"/>
      <sheetName val="SU_S1"/>
      <sheetName val="Sheet1 (2)"/>
      <sheetName val="seting_MP9"/>
      <sheetName val="Sheet1_(2)9"/>
      <sheetName val="seting_MP"/>
      <sheetName val="Sheet1_(2)"/>
      <sheetName val="seting_MP1"/>
      <sheetName val="Sheet1_(2)1"/>
      <sheetName val="seting_MP2"/>
      <sheetName val="Sheet1_(2)2"/>
      <sheetName val="seting_MP3"/>
      <sheetName val="Sheet1_(2)3"/>
      <sheetName val="seting_MP4"/>
      <sheetName val="Sheet1_(2)4"/>
      <sheetName val="seting_MP5"/>
      <sheetName val="Sheet1_(2)5"/>
      <sheetName val="seting_MP6"/>
      <sheetName val="Sheet1_(2)6"/>
      <sheetName val="seting_MP7"/>
      <sheetName val="Sheet1_(2)7"/>
      <sheetName val="seting_MP8"/>
      <sheetName val="Sheet1_(2)8"/>
      <sheetName val="seting_MP17"/>
      <sheetName val="Sheet1_(2)17"/>
      <sheetName val="seting_MP10"/>
      <sheetName val="Sheet1_(2)10"/>
      <sheetName val="seting_MP11"/>
      <sheetName val="Sheet1_(2)11"/>
      <sheetName val="seting_MP12"/>
      <sheetName val="Sheet1_(2)12"/>
      <sheetName val="seting_MP15"/>
      <sheetName val="Sheet1_(2)15"/>
      <sheetName val="seting_MP13"/>
      <sheetName val="Sheet1_(2)13"/>
      <sheetName val="seting_MP14"/>
      <sheetName val="Sheet1_(2)14"/>
      <sheetName val="seting_MP16"/>
      <sheetName val="Sheet1_(2)16"/>
      <sheetName val="seting_MP18"/>
      <sheetName val="Sheet1_(2)18"/>
      <sheetName val="seting_MP19"/>
      <sheetName val="Sheet1_(2)19"/>
      <sheetName val="seting_MP20"/>
      <sheetName val="Sheet1_(2)20"/>
      <sheetName val="seting_MP21"/>
      <sheetName val="Sheet1_(2)21"/>
    </sheetNames>
    <sheetDataSet>
      <sheetData sheetId="0" refreshError="1">
        <row r="2">
          <cell r="K2" t="str">
            <v xml:space="preserve">  1U$=\750</v>
          </cell>
        </row>
        <row r="4">
          <cell r="A4" t="str">
            <v xml:space="preserve">      項     目</v>
          </cell>
          <cell r="D4" t="str">
            <v xml:space="preserve">   算        出        根        據</v>
          </cell>
          <cell r="K4" t="str">
            <v xml:space="preserve">    備    考</v>
          </cell>
        </row>
        <row r="9">
          <cell r="A9">
            <v>0</v>
          </cell>
          <cell r="C9" t="str">
            <v xml:space="preserve">         區     分</v>
          </cell>
          <cell r="D9" t="str">
            <v xml:space="preserve">     分</v>
          </cell>
          <cell r="E9" t="str">
            <v xml:space="preserve"> 單 價</v>
          </cell>
          <cell r="G9" t="str">
            <v>내  역</v>
          </cell>
          <cell r="I9" t="str">
            <v xml:space="preserve">  合  計</v>
          </cell>
        </row>
        <row r="10">
          <cell r="E10" t="str">
            <v xml:space="preserve"> (USD)</v>
          </cell>
          <cell r="F10" t="str">
            <v xml:space="preserve"> 人員</v>
          </cell>
          <cell r="G10" t="str">
            <v xml:space="preserve"> 回數</v>
          </cell>
          <cell r="H10" t="str">
            <v xml:space="preserve"> 日數</v>
          </cell>
          <cell r="I10" t="str">
            <v xml:space="preserve">  (USD)</v>
          </cell>
        </row>
        <row r="11">
          <cell r="A11" t="str">
            <v xml:space="preserve"> 1. TEST WITNESS</v>
          </cell>
          <cell r="C11">
            <v>0</v>
          </cell>
          <cell r="D11" t="str">
            <v xml:space="preserve">   항  공  료</v>
          </cell>
          <cell r="I11">
            <v>0</v>
          </cell>
        </row>
        <row r="12">
          <cell r="C12" t="str">
            <v xml:space="preserve">    韓  國</v>
          </cell>
          <cell r="D12" t="str">
            <v xml:space="preserve">   숙  박  비</v>
          </cell>
          <cell r="I12">
            <v>0</v>
          </cell>
        </row>
        <row r="13">
          <cell r="D13" t="str">
            <v xml:space="preserve">   식      비</v>
          </cell>
          <cell r="I13">
            <v>0</v>
          </cell>
        </row>
        <row r="14">
          <cell r="D14" t="str">
            <v xml:space="preserve">   기      타</v>
          </cell>
          <cell r="I14">
            <v>0</v>
          </cell>
        </row>
        <row r="15">
          <cell r="C15">
            <v>0</v>
          </cell>
          <cell r="I15">
            <v>0</v>
          </cell>
        </row>
        <row r="16">
          <cell r="C16">
            <v>0</v>
          </cell>
          <cell r="D16" t="str">
            <v>TEST WITNESS   計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 xml:space="preserve"> 2. SUPERVISION</v>
          </cell>
          <cell r="C17" t="str">
            <v xml:space="preserve">   RELAY</v>
          </cell>
          <cell r="D17" t="str">
            <v xml:space="preserve">   항  공  료</v>
          </cell>
          <cell r="I17">
            <v>0</v>
          </cell>
        </row>
        <row r="18">
          <cell r="C18">
            <v>0</v>
          </cell>
          <cell r="D18" t="str">
            <v xml:space="preserve">   감  리  비</v>
          </cell>
          <cell r="I18">
            <v>0</v>
          </cell>
        </row>
        <row r="20">
          <cell r="C20">
            <v>0</v>
          </cell>
          <cell r="I20">
            <v>0</v>
          </cell>
        </row>
        <row r="21">
          <cell r="C21" t="str">
            <v xml:space="preserve">            SUPERVISION    計</v>
          </cell>
          <cell r="I21">
            <v>0</v>
          </cell>
        </row>
        <row r="22">
          <cell r="A22" t="str">
            <v xml:space="preserve"> 3. COMPUTER SYSTEM</v>
          </cell>
          <cell r="D22" t="str">
            <v xml:space="preserve">   교  육  비</v>
          </cell>
          <cell r="I22">
            <v>0</v>
          </cell>
        </row>
        <row r="23">
          <cell r="D23" t="str">
            <v xml:space="preserve">  MAINTENANCE</v>
          </cell>
          <cell r="I23">
            <v>0</v>
          </cell>
        </row>
        <row r="24">
          <cell r="D24" t="str">
            <v xml:space="preserve">  SOFTWARE</v>
          </cell>
          <cell r="I24">
            <v>0</v>
          </cell>
        </row>
        <row r="25">
          <cell r="I25">
            <v>0</v>
          </cell>
        </row>
        <row r="26">
          <cell r="C26" t="str">
            <v xml:space="preserve">            COMPUTER SYSTEM 計</v>
          </cell>
          <cell r="I26">
            <v>0</v>
          </cell>
        </row>
        <row r="28">
          <cell r="D28" t="str">
            <v>合      計</v>
          </cell>
          <cell r="I28">
            <v>0</v>
          </cell>
        </row>
        <row r="30">
          <cell r="I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O66"/>
  <sheetViews>
    <sheetView showGridLines="0" view="pageBreakPreview" zoomScaleNormal="90" zoomScaleSheetLayoutView="100" workbookViewId="0">
      <selection activeCell="M6" sqref="M6"/>
    </sheetView>
  </sheetViews>
  <sheetFormatPr defaultRowHeight="15" x14ac:dyDescent="0.25"/>
  <cols>
    <col min="1" max="1" width="2.5703125" customWidth="1"/>
    <col min="2" max="2" width="17.5703125" customWidth="1"/>
    <col min="3" max="3" width="11.7109375" customWidth="1"/>
    <col min="4" max="4" width="10.28515625" customWidth="1"/>
    <col min="5" max="5" width="11.7109375" customWidth="1"/>
    <col min="6" max="6" width="9.85546875" customWidth="1"/>
    <col min="7" max="8" width="11.42578125" customWidth="1"/>
    <col min="9" max="9" width="13.42578125" hidden="1" customWidth="1"/>
    <col min="10" max="10" width="10.5703125" customWidth="1"/>
    <col min="11" max="11" width="9.85546875" customWidth="1"/>
    <col min="12" max="12" width="0.85546875" hidden="1" customWidth="1"/>
    <col min="13" max="13" width="9.5703125" customWidth="1"/>
    <col min="14" max="14" width="9.140625" customWidth="1"/>
    <col min="15" max="15" width="10.5703125" bestFit="1" customWidth="1"/>
  </cols>
  <sheetData>
    <row r="1" spans="1:15" ht="8.1" customHeight="1" thickBot="1" x14ac:dyDescent="0.3"/>
    <row r="2" spans="1:15" x14ac:dyDescent="0.25">
      <c r="B2" s="143" t="s">
        <v>55</v>
      </c>
      <c r="C2" s="146" t="s">
        <v>56</v>
      </c>
      <c r="D2" s="147"/>
      <c r="E2" s="147"/>
      <c r="F2" s="147"/>
      <c r="G2" s="147"/>
      <c r="H2" s="147"/>
      <c r="I2" s="147"/>
      <c r="J2" s="147"/>
      <c r="K2" s="147"/>
      <c r="L2" s="147"/>
      <c r="M2" s="148"/>
      <c r="N2" s="77" t="s">
        <v>57</v>
      </c>
      <c r="O2" s="149" t="s">
        <v>58</v>
      </c>
    </row>
    <row r="3" spans="1:15" x14ac:dyDescent="0.25">
      <c r="B3" s="144"/>
      <c r="C3" s="152" t="s">
        <v>59</v>
      </c>
      <c r="D3" s="152"/>
      <c r="E3" s="140" t="s">
        <v>4</v>
      </c>
      <c r="F3" s="141"/>
      <c r="G3" s="141"/>
      <c r="H3" s="142"/>
      <c r="I3" s="153" t="s">
        <v>60</v>
      </c>
      <c r="J3" s="153" t="s">
        <v>122</v>
      </c>
      <c r="K3" s="153" t="s">
        <v>116</v>
      </c>
      <c r="L3" s="153" t="s">
        <v>97</v>
      </c>
      <c r="M3" s="153" t="s">
        <v>117</v>
      </c>
      <c r="N3" s="139" t="s">
        <v>61</v>
      </c>
      <c r="O3" s="150"/>
    </row>
    <row r="4" spans="1:15" s="134" customFormat="1" ht="57.6" customHeight="1" x14ac:dyDescent="0.25">
      <c r="B4" s="145"/>
      <c r="C4" s="125" t="s">
        <v>62</v>
      </c>
      <c r="D4" s="125" t="s">
        <v>2</v>
      </c>
      <c r="E4" s="125" t="s">
        <v>62</v>
      </c>
      <c r="F4" s="125" t="s">
        <v>2</v>
      </c>
      <c r="G4" s="125" t="s">
        <v>114</v>
      </c>
      <c r="H4" s="125" t="s">
        <v>115</v>
      </c>
      <c r="I4" s="153"/>
      <c r="J4" s="153"/>
      <c r="K4" s="153"/>
      <c r="L4" s="153"/>
      <c r="M4" s="153"/>
      <c r="N4" s="139"/>
      <c r="O4" s="151"/>
    </row>
    <row r="5" spans="1:15" x14ac:dyDescent="0.25">
      <c r="A5" t="s">
        <v>39</v>
      </c>
      <c r="B5" s="79" t="s">
        <v>63</v>
      </c>
      <c r="O5" s="10"/>
    </row>
    <row r="6" spans="1:15" x14ac:dyDescent="0.25">
      <c r="B6" s="84" t="str">
        <f>'01'!I14</f>
        <v>Gulf Crown Furniture</v>
      </c>
      <c r="C6" s="82">
        <f>'01 (2)'!D5</f>
        <v>1386418.4661479355</v>
      </c>
      <c r="D6" s="82">
        <f>'01 (2)'!E5</f>
        <v>1006271.4673654363</v>
      </c>
      <c r="E6" s="82">
        <f>'01 (2)'!D6</f>
        <v>1386418.4661479355</v>
      </c>
      <c r="F6" s="82">
        <f>'01 (2)'!E6</f>
        <v>1041108.1874098021</v>
      </c>
      <c r="G6" s="82">
        <f>F6-H6</f>
        <v>258869.31944703765</v>
      </c>
      <c r="H6" s="82">
        <f>'01 (2)'!H71</f>
        <v>782238.86796276446</v>
      </c>
      <c r="I6" s="82"/>
      <c r="J6" s="82">
        <f>'01 (2)'!E9</f>
        <v>268339.05796411651</v>
      </c>
      <c r="K6" s="82">
        <f>'01 (2)'!E8</f>
        <v>57510.305513639207</v>
      </c>
      <c r="L6" s="82"/>
      <c r="M6" s="82">
        <f>SUM(J6:L6)</f>
        <v>325849.36347775569</v>
      </c>
      <c r="N6" s="82">
        <f>'01 (2)'!E10</f>
        <v>303780</v>
      </c>
      <c r="O6" s="81">
        <f>M6-N6</f>
        <v>22069.363477755687</v>
      </c>
    </row>
    <row r="7" spans="1:15" x14ac:dyDescent="0.25">
      <c r="B7" s="80"/>
      <c r="O7" s="81"/>
    </row>
    <row r="8" spans="1:15" x14ac:dyDescent="0.25">
      <c r="A8" t="s">
        <v>40</v>
      </c>
      <c r="B8" s="79" t="s">
        <v>64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/>
      <c r="J8" s="9">
        <v>0</v>
      </c>
      <c r="K8" s="9">
        <v>0</v>
      </c>
      <c r="L8" s="9"/>
      <c r="M8" s="82">
        <v>0</v>
      </c>
      <c r="N8" s="9">
        <v>0</v>
      </c>
      <c r="O8" s="83">
        <v>0</v>
      </c>
    </row>
    <row r="9" spans="1:15" x14ac:dyDescent="0.25">
      <c r="B9" s="85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83"/>
    </row>
    <row r="10" spans="1:15" x14ac:dyDescent="0.25">
      <c r="A10" t="s">
        <v>41</v>
      </c>
      <c r="B10" s="79" t="s">
        <v>65</v>
      </c>
      <c r="C10" s="9"/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/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83">
        <v>0</v>
      </c>
    </row>
    <row r="11" spans="1:15" ht="15.75" thickBot="1" x14ac:dyDescent="0.3">
      <c r="B11" s="86"/>
      <c r="C11" s="87">
        <f>SUM(C6:C10)</f>
        <v>1386418.4661479355</v>
      </c>
      <c r="D11" s="87">
        <f t="shared" ref="D11:O11" si="0">SUM(D6:D10)</f>
        <v>1006271.4673654363</v>
      </c>
      <c r="E11" s="87">
        <f t="shared" si="0"/>
        <v>1386418.4661479355</v>
      </c>
      <c r="F11" s="87">
        <f t="shared" si="0"/>
        <v>1041108.1874098021</v>
      </c>
      <c r="G11" s="87">
        <f t="shared" si="0"/>
        <v>258869.31944703765</v>
      </c>
      <c r="H11" s="87">
        <f t="shared" si="0"/>
        <v>782238.86796276446</v>
      </c>
      <c r="I11" s="87">
        <f t="shared" si="0"/>
        <v>0</v>
      </c>
      <c r="J11" s="87">
        <f t="shared" si="0"/>
        <v>268339.05796411651</v>
      </c>
      <c r="K11" s="87">
        <f t="shared" si="0"/>
        <v>57510.305513639207</v>
      </c>
      <c r="L11" s="87">
        <f t="shared" si="0"/>
        <v>0</v>
      </c>
      <c r="M11" s="87">
        <f t="shared" si="0"/>
        <v>325849.36347775569</v>
      </c>
      <c r="N11" s="87">
        <f t="shared" si="0"/>
        <v>303780</v>
      </c>
      <c r="O11" s="135">
        <f t="shared" si="0"/>
        <v>22069.363477755687</v>
      </c>
    </row>
    <row r="12" spans="1:15" ht="15.75" thickTop="1" x14ac:dyDescent="0.25">
      <c r="B12" s="24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83"/>
    </row>
    <row r="13" spans="1:15" x14ac:dyDescent="0.25">
      <c r="B13" s="88" t="s">
        <v>66</v>
      </c>
      <c r="C13" s="89"/>
      <c r="D13" s="89"/>
      <c r="E13" s="89"/>
      <c r="M13" s="17"/>
      <c r="O13" s="10"/>
    </row>
    <row r="14" spans="1:15" x14ac:dyDescent="0.25">
      <c r="B14" s="85"/>
      <c r="C14" s="78" t="s">
        <v>56</v>
      </c>
      <c r="D14" s="78" t="s">
        <v>57</v>
      </c>
      <c r="E14" s="78" t="s">
        <v>58</v>
      </c>
      <c r="O14" s="10"/>
    </row>
    <row r="15" spans="1:15" ht="6.95" customHeight="1" x14ac:dyDescent="0.25">
      <c r="B15" s="85"/>
      <c r="C15" s="89"/>
      <c r="D15" s="89"/>
      <c r="E15" s="89"/>
      <c r="O15" s="10"/>
    </row>
    <row r="16" spans="1:15" x14ac:dyDescent="0.25">
      <c r="B16" s="90" t="s">
        <v>67</v>
      </c>
      <c r="C16" s="89"/>
      <c r="D16" s="89"/>
      <c r="E16" s="89"/>
      <c r="O16" s="10"/>
    </row>
    <row r="17" spans="2:15" x14ac:dyDescent="0.25">
      <c r="B17" s="85"/>
      <c r="C17" s="89"/>
      <c r="D17" s="89"/>
      <c r="E17" s="89"/>
      <c r="O17" s="10"/>
    </row>
    <row r="18" spans="2:15" x14ac:dyDescent="0.25">
      <c r="B18" s="79" t="s">
        <v>68</v>
      </c>
      <c r="C18" s="89"/>
      <c r="D18" s="89"/>
      <c r="E18" s="89"/>
      <c r="O18" s="10"/>
    </row>
    <row r="19" spans="2:15" x14ac:dyDescent="0.25">
      <c r="B19" s="85" t="s">
        <v>69</v>
      </c>
      <c r="C19" s="132">
        <f>D11</f>
        <v>1006271.4673654363</v>
      </c>
      <c r="D19" s="132">
        <v>0</v>
      </c>
      <c r="E19" s="132">
        <f>C19-D19</f>
        <v>1006271.4673654363</v>
      </c>
      <c r="H19" s="17"/>
      <c r="O19" s="10"/>
    </row>
    <row r="20" spans="2:15" x14ac:dyDescent="0.25">
      <c r="B20" s="85" t="s">
        <v>70</v>
      </c>
      <c r="C20" s="132">
        <v>0</v>
      </c>
      <c r="D20" s="132">
        <v>0</v>
      </c>
      <c r="E20" s="132"/>
      <c r="O20" s="10"/>
    </row>
    <row r="21" spans="2:15" x14ac:dyDescent="0.25">
      <c r="B21" s="85"/>
      <c r="C21" s="132"/>
      <c r="D21" s="132"/>
      <c r="E21" s="132"/>
      <c r="O21" s="10"/>
    </row>
    <row r="22" spans="2:15" x14ac:dyDescent="0.25">
      <c r="B22" s="79" t="s">
        <v>71</v>
      </c>
      <c r="C22" s="132"/>
      <c r="D22" s="132"/>
      <c r="E22" s="132"/>
      <c r="O22" s="10"/>
    </row>
    <row r="23" spans="2:15" x14ac:dyDescent="0.25">
      <c r="B23" s="85" t="s">
        <v>4</v>
      </c>
      <c r="C23" s="132">
        <f>F11*-1</f>
        <v>-1041108.1874098021</v>
      </c>
      <c r="D23" s="132">
        <f>0*-1</f>
        <v>0</v>
      </c>
      <c r="E23" s="132">
        <f>C23-D23</f>
        <v>-1041108.1874098021</v>
      </c>
      <c r="O23" s="10"/>
    </row>
    <row r="24" spans="2:15" x14ac:dyDescent="0.25">
      <c r="B24" s="85"/>
      <c r="C24" s="132"/>
      <c r="D24" s="132"/>
      <c r="E24" s="133">
        <f>SUM(E19:E23)</f>
        <v>-34836.720044365851</v>
      </c>
      <c r="O24" s="10"/>
    </row>
    <row r="25" spans="2:15" x14ac:dyDescent="0.25">
      <c r="B25" s="79" t="s">
        <v>72</v>
      </c>
      <c r="C25" s="132"/>
      <c r="D25" s="132"/>
      <c r="E25" s="132"/>
      <c r="O25" s="10"/>
    </row>
    <row r="26" spans="2:15" x14ac:dyDescent="0.25">
      <c r="B26" s="85" t="s">
        <v>73</v>
      </c>
      <c r="C26" s="132">
        <f>I11</f>
        <v>0</v>
      </c>
      <c r="D26" s="132"/>
      <c r="E26" s="132">
        <f>C26-D26</f>
        <v>0</v>
      </c>
      <c r="O26" s="10"/>
    </row>
    <row r="27" spans="2:15" x14ac:dyDescent="0.25">
      <c r="B27" s="85"/>
      <c r="C27" s="132"/>
      <c r="D27" s="132"/>
      <c r="E27" s="132"/>
      <c r="O27" s="10"/>
    </row>
    <row r="28" spans="2:15" x14ac:dyDescent="0.25">
      <c r="B28" s="90" t="s">
        <v>74</v>
      </c>
      <c r="C28" s="132"/>
      <c r="D28" s="132"/>
      <c r="E28" s="132"/>
      <c r="O28" s="10"/>
    </row>
    <row r="29" spans="2:15" x14ac:dyDescent="0.25">
      <c r="B29" s="85"/>
      <c r="C29" s="132"/>
      <c r="D29" s="132"/>
      <c r="E29" s="132"/>
      <c r="O29" s="10"/>
    </row>
    <row r="30" spans="2:15" x14ac:dyDescent="0.25">
      <c r="B30" s="79" t="s">
        <v>75</v>
      </c>
      <c r="C30" s="132"/>
      <c r="D30" s="132"/>
      <c r="E30" s="132"/>
      <c r="O30" s="10"/>
    </row>
    <row r="31" spans="2:15" x14ac:dyDescent="0.25">
      <c r="B31" s="85" t="s">
        <v>76</v>
      </c>
      <c r="C31" s="132">
        <f>L11</f>
        <v>0</v>
      </c>
      <c r="D31" s="132">
        <f>N11</f>
        <v>303780</v>
      </c>
      <c r="E31" s="132">
        <f>C31-D31</f>
        <v>-303780</v>
      </c>
      <c r="O31" s="10"/>
    </row>
    <row r="32" spans="2:15" x14ac:dyDescent="0.25">
      <c r="B32" s="85" t="s">
        <v>121</v>
      </c>
      <c r="C32" s="132">
        <f>J11</f>
        <v>268339.05796411651</v>
      </c>
      <c r="D32" s="132">
        <v>0</v>
      </c>
      <c r="E32" s="132">
        <f t="shared" ref="E32:E33" si="1">C32-D32</f>
        <v>268339.05796411651</v>
      </c>
      <c r="O32" s="10"/>
    </row>
    <row r="33" spans="1:15" x14ac:dyDescent="0.25">
      <c r="B33" s="85" t="s">
        <v>77</v>
      </c>
      <c r="C33" s="132">
        <f>K11</f>
        <v>57510.305513639207</v>
      </c>
      <c r="D33" s="132">
        <v>0</v>
      </c>
      <c r="E33" s="132">
        <f t="shared" si="1"/>
        <v>57510.305513639207</v>
      </c>
      <c r="O33" s="10"/>
    </row>
    <row r="34" spans="1:15" x14ac:dyDescent="0.25">
      <c r="B34" s="85"/>
      <c r="C34" s="132"/>
      <c r="D34" s="132"/>
      <c r="E34" s="132"/>
      <c r="O34" s="10"/>
    </row>
    <row r="35" spans="1:15" ht="15.75" thickBot="1" x14ac:dyDescent="0.3">
      <c r="B35" s="136"/>
      <c r="C35" s="137">
        <f>SUM(C31:C34)</f>
        <v>325849.36347775569</v>
      </c>
      <c r="D35" s="137">
        <f>SUM(D31:D34)</f>
        <v>303780</v>
      </c>
      <c r="E35" s="138">
        <f>SUM(E31:E34)</f>
        <v>22069.363477755716</v>
      </c>
      <c r="F35" s="96"/>
      <c r="G35" s="96"/>
      <c r="H35" s="96"/>
      <c r="I35" s="59"/>
      <c r="J35" s="59"/>
      <c r="K35" s="59"/>
      <c r="L35" s="59"/>
      <c r="M35" s="59"/>
      <c r="N35" s="59"/>
      <c r="O35" s="97"/>
    </row>
    <row r="36" spans="1:15" ht="15.75" thickBot="1" x14ac:dyDescent="0.3">
      <c r="B36" s="58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97"/>
    </row>
    <row r="37" spans="1:15" x14ac:dyDescent="0.25">
      <c r="A37" s="89"/>
      <c r="B37" s="88" t="s">
        <v>78</v>
      </c>
      <c r="C37" s="89"/>
      <c r="O37" s="10"/>
    </row>
    <row r="38" spans="1:15" x14ac:dyDescent="0.25">
      <c r="A38" s="89"/>
      <c r="B38" s="85"/>
      <c r="C38" s="89"/>
      <c r="O38" s="10"/>
    </row>
    <row r="39" spans="1:15" x14ac:dyDescent="0.25">
      <c r="A39" s="89"/>
      <c r="B39" s="85" t="s">
        <v>79</v>
      </c>
      <c r="C39" s="89"/>
      <c r="O39" s="10"/>
    </row>
    <row r="40" spans="1:15" x14ac:dyDescent="0.25">
      <c r="A40" s="89"/>
      <c r="B40" s="85"/>
      <c r="C40" s="89"/>
      <c r="O40" s="10"/>
    </row>
    <row r="41" spans="1:15" x14ac:dyDescent="0.25">
      <c r="A41" s="89">
        <v>1</v>
      </c>
      <c r="B41" s="92" t="s">
        <v>80</v>
      </c>
      <c r="C41" s="89"/>
      <c r="O41" s="10"/>
    </row>
    <row r="42" spans="1:15" x14ac:dyDescent="0.25">
      <c r="A42" s="89"/>
      <c r="B42" s="85"/>
      <c r="C42" s="89"/>
      <c r="O42" s="10"/>
    </row>
    <row r="43" spans="1:15" x14ac:dyDescent="0.25">
      <c r="A43" s="89"/>
      <c r="B43" s="85" t="s">
        <v>81</v>
      </c>
      <c r="C43" s="93" t="s">
        <v>82</v>
      </c>
      <c r="D43" s="20">
        <f>D31</f>
        <v>303780</v>
      </c>
      <c r="O43" s="10"/>
    </row>
    <row r="44" spans="1:15" x14ac:dyDescent="0.25">
      <c r="A44" s="89"/>
      <c r="B44" s="85" t="s">
        <v>76</v>
      </c>
      <c r="C44" s="93" t="s">
        <v>83</v>
      </c>
      <c r="D44" s="20">
        <f>D43*-1</f>
        <v>-303780</v>
      </c>
      <c r="O44" s="10"/>
    </row>
    <row r="45" spans="1:15" x14ac:dyDescent="0.25">
      <c r="A45" s="89"/>
      <c r="B45" s="85"/>
      <c r="C45" s="93"/>
      <c r="O45" s="10"/>
    </row>
    <row r="46" spans="1:15" x14ac:dyDescent="0.25">
      <c r="A46" s="89">
        <v>2</v>
      </c>
      <c r="B46" s="92" t="s">
        <v>84</v>
      </c>
      <c r="C46" s="93"/>
      <c r="O46" s="10"/>
    </row>
    <row r="47" spans="1:15" x14ac:dyDescent="0.25">
      <c r="A47" s="89"/>
      <c r="B47" s="85"/>
      <c r="C47" s="93"/>
      <c r="O47" s="10"/>
    </row>
    <row r="48" spans="1:15" x14ac:dyDescent="0.25">
      <c r="A48" s="89"/>
      <c r="B48" s="85" t="s">
        <v>85</v>
      </c>
      <c r="C48" s="93" t="s">
        <v>82</v>
      </c>
      <c r="D48" s="17">
        <f>C11</f>
        <v>1386418.4661479355</v>
      </c>
      <c r="O48" s="10"/>
    </row>
    <row r="49" spans="1:15" x14ac:dyDescent="0.25">
      <c r="A49" s="89"/>
      <c r="B49" s="85" t="s">
        <v>73</v>
      </c>
      <c r="C49" s="93"/>
      <c r="O49" s="10"/>
    </row>
    <row r="50" spans="1:15" x14ac:dyDescent="0.25">
      <c r="A50" s="89"/>
      <c r="B50" s="85" t="s">
        <v>4</v>
      </c>
      <c r="C50" s="93" t="s">
        <v>83</v>
      </c>
      <c r="D50" s="91">
        <f>SUM(E11)</f>
        <v>1386418.4661479355</v>
      </c>
      <c r="O50" s="10"/>
    </row>
    <row r="51" spans="1:15" x14ac:dyDescent="0.25">
      <c r="A51" s="89"/>
      <c r="B51" s="85"/>
      <c r="C51" s="93"/>
      <c r="O51" s="10"/>
    </row>
    <row r="52" spans="1:15" x14ac:dyDescent="0.25">
      <c r="A52" s="89">
        <v>3</v>
      </c>
      <c r="B52" s="92" t="s">
        <v>86</v>
      </c>
      <c r="C52" s="93"/>
      <c r="O52" s="10"/>
    </row>
    <row r="53" spans="1:15" x14ac:dyDescent="0.25">
      <c r="A53" s="89"/>
      <c r="B53" s="85"/>
      <c r="C53" s="93"/>
      <c r="O53" s="10"/>
    </row>
    <row r="54" spans="1:15" x14ac:dyDescent="0.25">
      <c r="A54" s="89"/>
      <c r="B54" s="85" t="s">
        <v>87</v>
      </c>
      <c r="C54" s="93" t="s">
        <v>82</v>
      </c>
      <c r="D54" s="20">
        <f>C32</f>
        <v>268339.05796411651</v>
      </c>
      <c r="O54" s="10"/>
    </row>
    <row r="55" spans="1:15" x14ac:dyDescent="0.25">
      <c r="A55" s="89"/>
      <c r="B55" s="85" t="s">
        <v>88</v>
      </c>
      <c r="C55" s="93" t="s">
        <v>83</v>
      </c>
      <c r="D55" s="20">
        <f>D54*-1</f>
        <v>-268339.05796411651</v>
      </c>
      <c r="O55" s="10"/>
    </row>
    <row r="56" spans="1:15" x14ac:dyDescent="0.25">
      <c r="A56" s="89"/>
      <c r="B56" s="85"/>
      <c r="C56" s="93"/>
      <c r="O56" s="10"/>
    </row>
    <row r="57" spans="1:15" x14ac:dyDescent="0.25">
      <c r="A57" s="89">
        <v>4</v>
      </c>
      <c r="B57" s="92" t="s">
        <v>89</v>
      </c>
      <c r="C57" s="93"/>
      <c r="O57" s="10"/>
    </row>
    <row r="58" spans="1:15" x14ac:dyDescent="0.25">
      <c r="A58" s="89"/>
      <c r="B58" s="85"/>
      <c r="C58" s="93"/>
      <c r="O58" s="10"/>
    </row>
    <row r="59" spans="1:15" x14ac:dyDescent="0.25">
      <c r="A59" s="89"/>
      <c r="B59" s="85" t="s">
        <v>4</v>
      </c>
      <c r="C59" s="93" t="s">
        <v>82</v>
      </c>
      <c r="D59" s="91">
        <f>D62-D61-D60</f>
        <v>246269.69448636079</v>
      </c>
      <c r="E59" s="94" t="s">
        <v>90</v>
      </c>
      <c r="O59" s="10"/>
    </row>
    <row r="60" spans="1:15" x14ac:dyDescent="0.25">
      <c r="A60" s="89"/>
      <c r="B60" s="85" t="s">
        <v>76</v>
      </c>
      <c r="C60" s="93" t="s">
        <v>82</v>
      </c>
      <c r="D60" s="17">
        <f>L11</f>
        <v>0</v>
      </c>
      <c r="E60" s="94" t="s">
        <v>91</v>
      </c>
      <c r="O60" s="10"/>
    </row>
    <row r="61" spans="1:15" x14ac:dyDescent="0.25">
      <c r="A61" s="89"/>
      <c r="B61" s="85" t="s">
        <v>77</v>
      </c>
      <c r="C61" s="93" t="s">
        <v>82</v>
      </c>
      <c r="D61" s="20">
        <f>C33</f>
        <v>57510.305513639207</v>
      </c>
      <c r="O61" s="10"/>
    </row>
    <row r="62" spans="1:15" ht="15.75" thickBot="1" x14ac:dyDescent="0.3">
      <c r="A62" s="89"/>
      <c r="B62" s="107" t="s">
        <v>81</v>
      </c>
      <c r="C62" s="95" t="s">
        <v>83</v>
      </c>
      <c r="D62" s="96">
        <v>303780</v>
      </c>
      <c r="E62" s="96"/>
      <c r="F62" s="59"/>
      <c r="G62" s="59"/>
      <c r="H62" s="59"/>
      <c r="I62" s="59"/>
      <c r="J62" s="59"/>
      <c r="K62" s="59"/>
      <c r="L62" s="59"/>
      <c r="M62" s="59"/>
      <c r="N62" s="59"/>
      <c r="O62" s="97"/>
    </row>
    <row r="65" spans="4:4" x14ac:dyDescent="0.25">
      <c r="D65" s="20"/>
    </row>
    <row r="66" spans="4:4" x14ac:dyDescent="0.25">
      <c r="D66" s="20"/>
    </row>
  </sheetData>
  <mergeCells count="11">
    <mergeCell ref="N3:N4"/>
    <mergeCell ref="E3:H3"/>
    <mergeCell ref="B2:B4"/>
    <mergeCell ref="C2:M2"/>
    <mergeCell ref="O2:O4"/>
    <mergeCell ref="C3:D3"/>
    <mergeCell ref="I3:I4"/>
    <mergeCell ref="J3:J4"/>
    <mergeCell ref="K3:K4"/>
    <mergeCell ref="L3:L4"/>
    <mergeCell ref="M3:M4"/>
  </mergeCells>
  <pageMargins left="0.6692913385826772" right="0.51181102362204722" top="0.51181102362204722" bottom="0.19685039370078741" header="0" footer="0"/>
  <pageSetup paperSize="9" scale="99" orientation="landscape" r:id="rId1"/>
  <rowBreaks count="1" manualBreakCount="1">
    <brk id="3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78"/>
  <sheetViews>
    <sheetView showGridLines="0" view="pageBreakPreview" topLeftCell="A43" zoomScale="81" zoomScaleNormal="100" zoomScaleSheetLayoutView="70" workbookViewId="0">
      <selection activeCell="F5" sqref="F5"/>
    </sheetView>
  </sheetViews>
  <sheetFormatPr defaultRowHeight="15" x14ac:dyDescent="0.25"/>
  <cols>
    <col min="1" max="1" width="2.85546875" customWidth="1"/>
    <col min="2" max="2" width="16.5703125" customWidth="1"/>
    <col min="4" max="4" width="16" bestFit="1" customWidth="1"/>
    <col min="5" max="5" width="10.42578125" bestFit="1" customWidth="1"/>
    <col min="6" max="7" width="13.42578125" bestFit="1" customWidth="1"/>
    <col min="8" max="8" width="16.42578125" customWidth="1"/>
    <col min="9" max="9" width="14.5703125" bestFit="1" customWidth="1"/>
    <col min="11" max="11" width="13.42578125" bestFit="1" customWidth="1"/>
    <col min="12" max="13" width="14.5703125" style="1" bestFit="1" customWidth="1"/>
    <col min="15" max="15" width="14.5703125" bestFit="1" customWidth="1"/>
    <col min="16" max="16" width="10.5703125" customWidth="1"/>
    <col min="17" max="18" width="8" customWidth="1"/>
  </cols>
  <sheetData>
    <row r="1" spans="2:16" ht="15.75" thickBot="1" x14ac:dyDescent="0.3"/>
    <row r="2" spans="2:16" x14ac:dyDescent="0.25">
      <c r="B2" s="2" t="s">
        <v>0</v>
      </c>
      <c r="C2" s="3"/>
      <c r="D2" s="3"/>
      <c r="E2" s="3"/>
      <c r="F2" s="4"/>
      <c r="G2" s="4"/>
      <c r="H2" s="4"/>
      <c r="I2" s="4"/>
      <c r="J2" s="4"/>
      <c r="K2" s="4"/>
      <c r="L2" s="5"/>
      <c r="M2" s="5"/>
      <c r="N2" s="4"/>
      <c r="O2" s="4"/>
      <c r="P2" s="6"/>
    </row>
    <row r="3" spans="2:16" ht="15.75" thickBot="1" x14ac:dyDescent="0.3">
      <c r="B3" s="7"/>
      <c r="C3" s="8"/>
      <c r="D3" s="8"/>
      <c r="E3" s="8"/>
      <c r="L3" s="9"/>
      <c r="M3" s="9"/>
      <c r="P3" s="10"/>
    </row>
    <row r="4" spans="2:16" x14ac:dyDescent="0.25">
      <c r="B4" s="11"/>
      <c r="C4" s="3"/>
      <c r="D4" s="12" t="s">
        <v>1</v>
      </c>
      <c r="E4" s="13" t="s">
        <v>2</v>
      </c>
      <c r="L4" s="9"/>
      <c r="M4" s="9"/>
      <c r="P4" s="10"/>
    </row>
    <row r="5" spans="2:16" x14ac:dyDescent="0.25">
      <c r="B5" s="14" t="s">
        <v>3</v>
      </c>
      <c r="C5" s="8"/>
      <c r="D5" s="15">
        <f>K43</f>
        <v>2146434.0515646799</v>
      </c>
      <c r="E5" s="16">
        <f>K55</f>
        <v>1287860.4309388078</v>
      </c>
      <c r="F5" s="17">
        <f>H55-H64</f>
        <v>647576.84688156273</v>
      </c>
      <c r="L5" s="9"/>
      <c r="M5" s="9"/>
      <c r="P5" s="10"/>
    </row>
    <row r="6" spans="2:16" x14ac:dyDescent="0.25">
      <c r="B6" s="14" t="s">
        <v>4</v>
      </c>
      <c r="C6" s="8"/>
      <c r="D6" s="15">
        <f>H43</f>
        <v>2146434.0515646799</v>
      </c>
      <c r="E6" s="16">
        <f>H55</f>
        <v>1319846.5206753041</v>
      </c>
      <c r="F6" s="17" t="s">
        <v>96</v>
      </c>
      <c r="L6" s="9"/>
      <c r="M6" s="9"/>
      <c r="P6" s="10"/>
    </row>
    <row r="7" spans="2:16" x14ac:dyDescent="0.25">
      <c r="B7" s="14"/>
      <c r="C7" s="8"/>
      <c r="D7" s="8"/>
      <c r="E7" s="18"/>
      <c r="F7" s="57"/>
      <c r="L7" s="9"/>
      <c r="M7" s="9"/>
      <c r="P7" s="10"/>
    </row>
    <row r="8" spans="2:16" x14ac:dyDescent="0.25">
      <c r="B8" s="14" t="s">
        <v>5</v>
      </c>
      <c r="C8" s="8"/>
      <c r="D8" s="8"/>
      <c r="E8" s="19">
        <f>SUM(I44:I55)</f>
        <v>84752.469110624239</v>
      </c>
      <c r="L8" s="9"/>
      <c r="M8" s="9"/>
      <c r="P8" s="10"/>
    </row>
    <row r="9" spans="2:16" x14ac:dyDescent="0.25">
      <c r="B9" s="14" t="s">
        <v>95</v>
      </c>
      <c r="C9" s="8"/>
      <c r="D9" s="8"/>
      <c r="E9" s="19">
        <f>SUM(L44:L55)</f>
        <v>858573.62062587205</v>
      </c>
      <c r="F9" s="20"/>
      <c r="L9" s="9"/>
      <c r="M9" s="9"/>
      <c r="P9" s="10"/>
    </row>
    <row r="10" spans="2:16" ht="15.75" thickBot="1" x14ac:dyDescent="0.3">
      <c r="B10" s="21" t="s">
        <v>6</v>
      </c>
      <c r="C10" s="22"/>
      <c r="D10" s="22"/>
      <c r="E10" s="23">
        <f>SUM(O44:O55)</f>
        <v>911340</v>
      </c>
      <c r="F10" s="20"/>
      <c r="L10" s="9"/>
      <c r="M10" s="9"/>
      <c r="P10" s="10"/>
    </row>
    <row r="11" spans="2:16" x14ac:dyDescent="0.25">
      <c r="B11" s="24"/>
      <c r="F11" s="20"/>
      <c r="L11" s="9"/>
      <c r="M11" s="9"/>
      <c r="P11" s="10"/>
    </row>
    <row r="12" spans="2:16" x14ac:dyDescent="0.25">
      <c r="B12" s="25" t="s">
        <v>7</v>
      </c>
      <c r="C12" s="26"/>
      <c r="D12" s="26"/>
      <c r="E12" s="26"/>
      <c r="F12" s="27"/>
      <c r="G12" s="26"/>
      <c r="H12" s="26"/>
      <c r="L12" s="9"/>
      <c r="M12" s="9"/>
      <c r="P12" s="10"/>
    </row>
    <row r="13" spans="2:16" x14ac:dyDescent="0.25">
      <c r="B13" s="28"/>
      <c r="C13" s="26"/>
      <c r="D13" s="26"/>
      <c r="E13" s="26"/>
      <c r="F13" s="26"/>
      <c r="G13" s="26"/>
      <c r="H13" s="26"/>
      <c r="L13" s="9"/>
      <c r="M13" s="9"/>
      <c r="P13" s="10"/>
    </row>
    <row r="14" spans="2:16" x14ac:dyDescent="0.25">
      <c r="B14" s="29" t="s">
        <v>8</v>
      </c>
      <c r="C14" s="26"/>
      <c r="D14" s="26"/>
      <c r="E14" s="26"/>
      <c r="F14" s="26"/>
      <c r="G14" s="26"/>
      <c r="H14" s="26"/>
      <c r="I14" s="30" t="s">
        <v>99</v>
      </c>
      <c r="J14" s="31"/>
      <c r="K14" s="31"/>
      <c r="L14" s="32"/>
      <c r="M14" s="9"/>
      <c r="P14" s="10"/>
    </row>
    <row r="15" spans="2:16" x14ac:dyDescent="0.25">
      <c r="B15" s="29" t="s">
        <v>9</v>
      </c>
      <c r="C15" s="8"/>
      <c r="D15" s="26"/>
      <c r="E15" s="26"/>
      <c r="F15" s="26"/>
      <c r="G15" s="26"/>
      <c r="H15" s="26"/>
      <c r="I15" s="30"/>
      <c r="J15" s="31"/>
      <c r="K15" s="31"/>
      <c r="L15" s="32"/>
      <c r="M15" s="9"/>
      <c r="P15" s="10"/>
    </row>
    <row r="16" spans="2:16" x14ac:dyDescent="0.25">
      <c r="B16" s="29" t="s">
        <v>10</v>
      </c>
      <c r="C16" s="8"/>
      <c r="D16" s="26"/>
      <c r="E16" s="26"/>
      <c r="F16" s="26"/>
      <c r="G16" s="26"/>
      <c r="H16" s="26"/>
      <c r="I16" s="30"/>
      <c r="J16" s="31"/>
      <c r="K16" s="31"/>
      <c r="L16" s="32"/>
      <c r="M16" s="9"/>
      <c r="P16" s="10"/>
    </row>
    <row r="17" spans="2:16" x14ac:dyDescent="0.25">
      <c r="B17" s="29" t="s">
        <v>11</v>
      </c>
      <c r="C17" s="8"/>
      <c r="D17" s="26"/>
      <c r="E17" s="26"/>
      <c r="F17" s="26"/>
      <c r="G17" s="26"/>
      <c r="H17" s="26"/>
      <c r="I17" s="30"/>
      <c r="J17" s="31"/>
      <c r="K17" s="31"/>
      <c r="L17" s="32"/>
      <c r="M17" s="9"/>
      <c r="P17" s="10"/>
    </row>
    <row r="18" spans="2:16" x14ac:dyDescent="0.25">
      <c r="B18" s="29" t="s">
        <v>12</v>
      </c>
      <c r="C18" s="8"/>
      <c r="D18" s="26"/>
      <c r="E18" s="26"/>
      <c r="F18" s="26"/>
      <c r="G18" s="26"/>
      <c r="H18" s="26" t="s">
        <v>13</v>
      </c>
      <c r="I18" s="33">
        <v>44774</v>
      </c>
      <c r="J18" s="31"/>
      <c r="K18" s="31"/>
      <c r="L18" s="32"/>
      <c r="M18" s="9"/>
      <c r="P18" s="10"/>
    </row>
    <row r="19" spans="2:16" x14ac:dyDescent="0.25">
      <c r="B19" s="29"/>
      <c r="C19" s="8"/>
      <c r="D19" s="26"/>
      <c r="E19" s="26"/>
      <c r="F19" s="26"/>
      <c r="G19" s="26"/>
      <c r="H19" s="26" t="s">
        <v>14</v>
      </c>
      <c r="I19" s="33">
        <v>46660</v>
      </c>
      <c r="J19" s="31"/>
      <c r="K19" s="31"/>
      <c r="L19" s="32"/>
      <c r="M19" s="9"/>
      <c r="P19" s="10"/>
    </row>
    <row r="20" spans="2:16" x14ac:dyDescent="0.25">
      <c r="B20" s="29" t="s">
        <v>15</v>
      </c>
      <c r="C20" s="26"/>
      <c r="D20" s="26"/>
      <c r="E20" s="26"/>
      <c r="F20" s="8"/>
      <c r="G20" s="8"/>
      <c r="H20" s="26"/>
      <c r="I20" s="34">
        <v>0.05</v>
      </c>
      <c r="J20" s="35"/>
      <c r="K20" s="31"/>
      <c r="L20" s="32"/>
      <c r="M20" s="9"/>
      <c r="P20" s="10"/>
    </row>
    <row r="21" spans="2:16" x14ac:dyDescent="0.25">
      <c r="B21" s="29" t="s">
        <v>16</v>
      </c>
      <c r="C21" s="26"/>
      <c r="D21" s="26"/>
      <c r="E21" s="26"/>
      <c r="F21" s="8"/>
      <c r="G21" s="8"/>
      <c r="H21" s="26" t="s">
        <v>92</v>
      </c>
      <c r="I21" s="30">
        <v>30</v>
      </c>
      <c r="J21" s="31"/>
      <c r="K21" s="31"/>
      <c r="L21" s="32"/>
      <c r="M21" s="9"/>
      <c r="P21" s="10"/>
    </row>
    <row r="22" spans="2:16" x14ac:dyDescent="0.25">
      <c r="B22" s="29"/>
      <c r="C22" s="26"/>
      <c r="D22" s="26"/>
      <c r="E22" s="26"/>
      <c r="F22" s="8"/>
      <c r="G22" s="8"/>
      <c r="H22" s="26"/>
      <c r="I22" s="30"/>
      <c r="J22" s="31"/>
      <c r="K22" s="31"/>
      <c r="L22" s="32"/>
      <c r="M22" s="9"/>
      <c r="P22" s="10"/>
    </row>
    <row r="23" spans="2:16" x14ac:dyDescent="0.25">
      <c r="B23" s="29"/>
      <c r="C23" s="26"/>
      <c r="D23" s="26"/>
      <c r="E23" s="26"/>
      <c r="F23" s="8"/>
      <c r="G23" s="8"/>
      <c r="H23" s="26"/>
      <c r="I23" s="30"/>
      <c r="J23" s="31"/>
      <c r="K23" s="31"/>
      <c r="L23" s="32"/>
      <c r="M23" s="36"/>
      <c r="P23" s="10"/>
    </row>
    <row r="24" spans="2:16" x14ac:dyDescent="0.25">
      <c r="B24" s="24"/>
      <c r="L24" s="9"/>
      <c r="M24" s="9"/>
      <c r="P24" s="10"/>
    </row>
    <row r="25" spans="2:16" x14ac:dyDescent="0.25">
      <c r="B25" s="7" t="s">
        <v>100</v>
      </c>
      <c r="L25" s="9"/>
      <c r="M25" s="9"/>
      <c r="P25" s="10"/>
    </row>
    <row r="26" spans="2:16" x14ac:dyDescent="0.25">
      <c r="B26" s="24"/>
      <c r="L26" s="9"/>
      <c r="M26" s="9"/>
      <c r="P26" s="10"/>
    </row>
    <row r="27" spans="2:16" x14ac:dyDescent="0.25">
      <c r="B27" s="14" t="s">
        <v>17</v>
      </c>
      <c r="C27" s="8"/>
      <c r="D27" s="8"/>
      <c r="E27" s="37"/>
      <c r="F27" s="38">
        <f>F75</f>
        <v>2146434.0515646799</v>
      </c>
      <c r="H27" s="8" t="s">
        <v>4</v>
      </c>
      <c r="I27" s="8"/>
      <c r="J27" s="8"/>
      <c r="K27" s="8"/>
      <c r="L27" s="39">
        <f>F37</f>
        <v>2146434.0515646799</v>
      </c>
      <c r="M27" s="9"/>
      <c r="P27" s="10"/>
    </row>
    <row r="28" spans="2:16" x14ac:dyDescent="0.25">
      <c r="B28" s="14"/>
      <c r="C28" s="8"/>
      <c r="D28" s="8"/>
      <c r="E28" s="37"/>
      <c r="H28" s="8"/>
      <c r="I28" s="8"/>
      <c r="J28" s="8"/>
      <c r="K28" s="8"/>
      <c r="L28" s="9"/>
      <c r="M28" s="9"/>
      <c r="P28" s="10"/>
    </row>
    <row r="29" spans="2:16" x14ac:dyDescent="0.25">
      <c r="B29" s="14" t="s">
        <v>18</v>
      </c>
      <c r="C29" s="8"/>
      <c r="D29" s="8"/>
      <c r="E29" s="37" t="s">
        <v>19</v>
      </c>
      <c r="F29" s="98"/>
      <c r="H29" s="8" t="s">
        <v>20</v>
      </c>
      <c r="I29" s="8"/>
      <c r="J29" s="8"/>
      <c r="K29" s="37" t="s">
        <v>19</v>
      </c>
      <c r="L29" s="39">
        <v>0</v>
      </c>
      <c r="M29" s="9"/>
      <c r="P29" s="10"/>
    </row>
    <row r="30" spans="2:16" x14ac:dyDescent="0.25">
      <c r="B30" s="14"/>
      <c r="C30" s="8"/>
      <c r="D30" s="8"/>
      <c r="E30" s="37"/>
      <c r="H30" s="8"/>
      <c r="I30" s="8"/>
      <c r="J30" s="8"/>
      <c r="K30" s="37"/>
      <c r="L30" s="9"/>
      <c r="M30" s="9"/>
      <c r="P30" s="10"/>
    </row>
    <row r="31" spans="2:16" x14ac:dyDescent="0.25">
      <c r="B31" s="14" t="s">
        <v>21</v>
      </c>
      <c r="C31" s="8"/>
      <c r="D31" s="8"/>
      <c r="E31" s="37" t="s">
        <v>19</v>
      </c>
      <c r="F31" s="40"/>
      <c r="H31" s="8" t="s">
        <v>22</v>
      </c>
      <c r="I31" s="8"/>
      <c r="J31" s="8"/>
      <c r="K31" s="37" t="s">
        <v>19</v>
      </c>
      <c r="L31" s="39"/>
      <c r="M31" s="9"/>
      <c r="P31" s="10"/>
    </row>
    <row r="32" spans="2:16" x14ac:dyDescent="0.25">
      <c r="B32" s="14"/>
      <c r="C32" s="8"/>
      <c r="D32" s="8"/>
      <c r="E32" s="37"/>
      <c r="H32" s="8"/>
      <c r="I32" s="8"/>
      <c r="J32" s="8"/>
      <c r="K32" s="37"/>
      <c r="L32" s="9"/>
      <c r="M32" s="9"/>
      <c r="P32" s="10"/>
    </row>
    <row r="33" spans="2:16" x14ac:dyDescent="0.25">
      <c r="B33" s="14" t="s">
        <v>23</v>
      </c>
      <c r="C33" s="8"/>
      <c r="D33" s="8"/>
      <c r="E33" s="37" t="s">
        <v>19</v>
      </c>
      <c r="F33" s="40"/>
      <c r="H33" s="8" t="s">
        <v>24</v>
      </c>
      <c r="I33" s="8"/>
      <c r="J33" s="8"/>
      <c r="K33" s="37" t="s">
        <v>19</v>
      </c>
      <c r="L33" s="39"/>
      <c r="M33" s="9"/>
      <c r="P33" s="10"/>
    </row>
    <row r="34" spans="2:16" x14ac:dyDescent="0.25">
      <c r="B34" s="14"/>
      <c r="C34" s="8"/>
      <c r="D34" s="8"/>
      <c r="E34" s="37"/>
      <c r="H34" s="8"/>
      <c r="I34" s="8"/>
      <c r="J34" s="8"/>
      <c r="K34" s="37"/>
      <c r="L34" s="9"/>
      <c r="M34" s="9"/>
      <c r="P34" s="10"/>
    </row>
    <row r="35" spans="2:16" x14ac:dyDescent="0.25">
      <c r="B35" s="14" t="s">
        <v>25</v>
      </c>
      <c r="C35" s="8"/>
      <c r="D35" s="8"/>
      <c r="E35" s="37" t="s">
        <v>19</v>
      </c>
      <c r="F35" s="40"/>
      <c r="H35" s="8" t="s">
        <v>26</v>
      </c>
      <c r="I35" s="8"/>
      <c r="J35" s="8"/>
      <c r="K35" s="37" t="s">
        <v>27</v>
      </c>
      <c r="L35" s="39"/>
      <c r="M35" s="9"/>
      <c r="P35" s="10"/>
    </row>
    <row r="36" spans="2:16" x14ac:dyDescent="0.25">
      <c r="B36" s="14"/>
      <c r="C36" s="8"/>
      <c r="D36" s="8"/>
      <c r="E36" s="8"/>
      <c r="H36" s="8"/>
      <c r="I36" s="8"/>
      <c r="J36" s="8"/>
      <c r="K36" s="8"/>
      <c r="L36" s="9"/>
      <c r="M36" s="9"/>
      <c r="P36" s="10"/>
    </row>
    <row r="37" spans="2:16" x14ac:dyDescent="0.25">
      <c r="B37" s="7" t="s">
        <v>103</v>
      </c>
      <c r="C37" s="8"/>
      <c r="D37" s="8"/>
      <c r="E37" s="8"/>
      <c r="F37" s="41">
        <f>F27+F29+F31+F33+F35</f>
        <v>2146434.0515646799</v>
      </c>
      <c r="H37" s="42" t="s">
        <v>102</v>
      </c>
      <c r="I37" s="8"/>
      <c r="J37" s="8"/>
      <c r="K37" s="8"/>
      <c r="L37" s="39">
        <f>L27+L29+L31+L33-L35</f>
        <v>2146434.0515646799</v>
      </c>
      <c r="M37" s="9"/>
      <c r="P37" s="10"/>
    </row>
    <row r="38" spans="2:16" x14ac:dyDescent="0.25">
      <c r="B38" s="24"/>
      <c r="H38" s="26"/>
      <c r="I38" s="26"/>
      <c r="J38" s="26"/>
      <c r="K38" s="26"/>
      <c r="L38" s="9"/>
      <c r="M38" s="9"/>
      <c r="P38" s="10"/>
    </row>
    <row r="39" spans="2:16" x14ac:dyDescent="0.25">
      <c r="B39" s="24"/>
      <c r="H39" s="43" t="s">
        <v>93</v>
      </c>
      <c r="I39" s="26"/>
      <c r="J39" s="26"/>
      <c r="K39" s="26"/>
      <c r="L39" s="39">
        <f>L37/I21</f>
        <v>71547.801718822666</v>
      </c>
      <c r="M39" s="9"/>
      <c r="P39" s="10"/>
    </row>
    <row r="40" spans="2:16" x14ac:dyDescent="0.25">
      <c r="B40" s="24"/>
      <c r="L40" s="9"/>
      <c r="M40" s="9"/>
      <c r="O40" s="26" t="s">
        <v>28</v>
      </c>
      <c r="P40" s="18"/>
    </row>
    <row r="41" spans="2:16" ht="33.75" x14ac:dyDescent="0.25">
      <c r="B41" s="44" t="s">
        <v>29</v>
      </c>
      <c r="C41" s="45" t="s">
        <v>30</v>
      </c>
      <c r="D41" s="46" t="s">
        <v>31</v>
      </c>
      <c r="E41" s="46" t="s">
        <v>32</v>
      </c>
      <c r="F41" s="46" t="s">
        <v>33</v>
      </c>
      <c r="H41" s="46" t="s">
        <v>34</v>
      </c>
      <c r="I41" s="46" t="s">
        <v>35</v>
      </c>
      <c r="K41" s="46" t="s">
        <v>36</v>
      </c>
      <c r="L41" s="46" t="s">
        <v>94</v>
      </c>
      <c r="M41" s="47" t="s">
        <v>37</v>
      </c>
      <c r="O41" s="48" t="s">
        <v>98</v>
      </c>
      <c r="P41" s="49" t="s">
        <v>38</v>
      </c>
    </row>
    <row r="42" spans="2:16" x14ac:dyDescent="0.25">
      <c r="B42" s="44" t="s">
        <v>39</v>
      </c>
      <c r="C42" s="45" t="s">
        <v>40</v>
      </c>
      <c r="D42" s="46" t="s">
        <v>41</v>
      </c>
      <c r="E42" s="46" t="s">
        <v>42</v>
      </c>
      <c r="F42" s="46" t="s">
        <v>43</v>
      </c>
      <c r="H42" s="46" t="s">
        <v>44</v>
      </c>
      <c r="I42" s="46" t="s">
        <v>45</v>
      </c>
      <c r="K42" s="46" t="s">
        <v>46</v>
      </c>
      <c r="L42" s="47" t="s">
        <v>47</v>
      </c>
      <c r="M42" s="47" t="s">
        <v>48</v>
      </c>
      <c r="O42" s="48"/>
      <c r="P42" s="49"/>
    </row>
    <row r="43" spans="2:16" x14ac:dyDescent="0.25">
      <c r="H43" s="67">
        <f>F37</f>
        <v>2146434.0515646799</v>
      </c>
      <c r="I43" s="68"/>
      <c r="K43" s="69">
        <f>L37</f>
        <v>2146434.0515646799</v>
      </c>
      <c r="L43" s="55"/>
      <c r="M43" s="55"/>
      <c r="O43" s="70"/>
      <c r="P43" s="71"/>
    </row>
    <row r="44" spans="2:16" x14ac:dyDescent="0.25">
      <c r="B44" s="72">
        <v>44835</v>
      </c>
      <c r="C44" s="65">
        <v>1</v>
      </c>
      <c r="D44" s="66">
        <v>75945</v>
      </c>
      <c r="E44" s="53">
        <f>$I$20/12</f>
        <v>4.1666666666666666E-3</v>
      </c>
      <c r="F44" s="55">
        <f>D44/(1+E44)^(C44-1)</f>
        <v>75945</v>
      </c>
      <c r="H44" s="54">
        <f>H43+I44-D44</f>
        <v>2079116.0892795329</v>
      </c>
      <c r="I44" s="55">
        <f>(H43-D44)*E44</f>
        <v>8627.0377148528332</v>
      </c>
      <c r="K44" s="55">
        <f>K43-L44</f>
        <v>2074886.2498458573</v>
      </c>
      <c r="L44" s="55">
        <f>$L$39</f>
        <v>71547.801718822666</v>
      </c>
      <c r="M44" s="55">
        <f>I44+L44</f>
        <v>80174.839433675501</v>
      </c>
      <c r="O44" s="66">
        <f>D44</f>
        <v>75945</v>
      </c>
      <c r="P44" s="71"/>
    </row>
    <row r="45" spans="2:16" x14ac:dyDescent="0.25">
      <c r="B45" s="72">
        <v>44927</v>
      </c>
      <c r="C45" s="65">
        <v>2</v>
      </c>
      <c r="D45" s="66">
        <v>75945</v>
      </c>
      <c r="E45" s="53">
        <f t="shared" ref="E45:E73" si="0">$I$20/12</f>
        <v>4.1666666666666666E-3</v>
      </c>
      <c r="F45" s="55">
        <f t="shared" ref="F45:F73" si="1">D45/(1+E45)^(C45-1)</f>
        <v>75629.875518672197</v>
      </c>
      <c r="G45" s="20"/>
      <c r="H45" s="54">
        <f t="shared" ref="H45:H64" si="2">H44+I45-D45</f>
        <v>2011517.6354848642</v>
      </c>
      <c r="I45" s="55">
        <f t="shared" ref="I45:I64" si="3">(H44-D45)*E45</f>
        <v>8346.5462053313877</v>
      </c>
      <c r="K45" s="55">
        <f>K44-L45</f>
        <v>2003338.4481270346</v>
      </c>
      <c r="L45" s="55">
        <f t="shared" ref="L45:L73" si="4">$L$39</f>
        <v>71547.801718822666</v>
      </c>
      <c r="M45" s="55">
        <f t="shared" ref="M45:M64" si="5">I45+L45</f>
        <v>79894.347924154048</v>
      </c>
      <c r="O45" s="66">
        <f t="shared" ref="O45:O73" si="6">D45</f>
        <v>75945</v>
      </c>
      <c r="P45" s="71"/>
    </row>
    <row r="46" spans="2:16" x14ac:dyDescent="0.25">
      <c r="B46" s="72">
        <v>45017</v>
      </c>
      <c r="C46" s="65">
        <v>3</v>
      </c>
      <c r="D46" s="66">
        <v>75945</v>
      </c>
      <c r="E46" s="53">
        <f t="shared" si="0"/>
        <v>4.1666666666666666E-3</v>
      </c>
      <c r="F46" s="55">
        <f t="shared" si="1"/>
        <v>75316.058607806335</v>
      </c>
      <c r="H46" s="54">
        <f t="shared" si="2"/>
        <v>1943637.5214660512</v>
      </c>
      <c r="I46" s="55">
        <f t="shared" si="3"/>
        <v>8064.8859811869343</v>
      </c>
      <c r="K46" s="55">
        <f>K45-L46</f>
        <v>1931790.6464082119</v>
      </c>
      <c r="L46" s="55">
        <f t="shared" si="4"/>
        <v>71547.801718822666</v>
      </c>
      <c r="M46" s="55">
        <f t="shared" si="5"/>
        <v>79612.687700009599</v>
      </c>
      <c r="O46" s="66">
        <f t="shared" si="6"/>
        <v>75945</v>
      </c>
      <c r="P46" s="71"/>
    </row>
    <row r="47" spans="2:16" x14ac:dyDescent="0.25">
      <c r="B47" s="72">
        <v>45108</v>
      </c>
      <c r="C47" s="65">
        <v>4</v>
      </c>
      <c r="D47" s="66">
        <v>75945</v>
      </c>
      <c r="E47" s="53">
        <f t="shared" si="0"/>
        <v>4.1666666666666666E-3</v>
      </c>
      <c r="F47" s="55">
        <f t="shared" si="1"/>
        <v>75003.543841798833</v>
      </c>
      <c r="H47" s="54">
        <f t="shared" si="2"/>
        <v>1875474.5736388264</v>
      </c>
      <c r="I47" s="55">
        <f t="shared" si="3"/>
        <v>7782.052172775213</v>
      </c>
      <c r="K47" s="55">
        <f t="shared" ref="K47:K64" si="7">K46-L47</f>
        <v>1860242.8446893892</v>
      </c>
      <c r="L47" s="55">
        <f t="shared" si="4"/>
        <v>71547.801718822666</v>
      </c>
      <c r="M47" s="55">
        <f t="shared" si="5"/>
        <v>79329.853891597886</v>
      </c>
      <c r="O47" s="66">
        <f t="shared" si="6"/>
        <v>75945</v>
      </c>
      <c r="P47" s="71"/>
    </row>
    <row r="48" spans="2:16" x14ac:dyDescent="0.25">
      <c r="B48" s="72">
        <v>45200</v>
      </c>
      <c r="C48" s="65">
        <v>5</v>
      </c>
      <c r="D48" s="66">
        <v>75945</v>
      </c>
      <c r="E48" s="53">
        <f t="shared" si="0"/>
        <v>4.1666666666666666E-3</v>
      </c>
      <c r="F48" s="55">
        <f t="shared" si="1"/>
        <v>74692.325817559016</v>
      </c>
      <c r="H48" s="54">
        <f t="shared" si="2"/>
        <v>1807027.6135289881</v>
      </c>
      <c r="I48" s="55">
        <f t="shared" si="3"/>
        <v>7498.0398901617764</v>
      </c>
      <c r="K48" s="55">
        <f t="shared" si="7"/>
        <v>1788695.0429705665</v>
      </c>
      <c r="L48" s="55">
        <f t="shared" si="4"/>
        <v>71547.801718822666</v>
      </c>
      <c r="M48" s="55">
        <f t="shared" si="5"/>
        <v>79045.84160898444</v>
      </c>
      <c r="O48" s="66">
        <f t="shared" si="6"/>
        <v>75945</v>
      </c>
      <c r="P48" s="71"/>
    </row>
    <row r="49" spans="2:16" x14ac:dyDescent="0.25">
      <c r="B49" s="72">
        <v>45292</v>
      </c>
      <c r="C49" s="65">
        <v>6</v>
      </c>
      <c r="D49" s="66">
        <v>75945</v>
      </c>
      <c r="E49" s="53">
        <f t="shared" si="0"/>
        <v>4.1666666666666666E-3</v>
      </c>
      <c r="F49" s="55">
        <f t="shared" si="1"/>
        <v>74382.399154415616</v>
      </c>
      <c r="H49" s="54">
        <f t="shared" si="2"/>
        <v>1738295.4577520255</v>
      </c>
      <c r="I49" s="55">
        <f t="shared" si="3"/>
        <v>7212.8442230374503</v>
      </c>
      <c r="K49" s="55">
        <f t="shared" si="7"/>
        <v>1717147.2412517439</v>
      </c>
      <c r="L49" s="55">
        <f t="shared" si="4"/>
        <v>71547.801718822666</v>
      </c>
      <c r="M49" s="55">
        <f t="shared" si="5"/>
        <v>78760.645941860115</v>
      </c>
      <c r="O49" s="66">
        <f t="shared" si="6"/>
        <v>75945</v>
      </c>
      <c r="P49" s="71"/>
    </row>
    <row r="50" spans="2:16" x14ac:dyDescent="0.25">
      <c r="B50" s="72">
        <v>45383</v>
      </c>
      <c r="C50" s="65">
        <v>7</v>
      </c>
      <c r="D50" s="66">
        <v>75945</v>
      </c>
      <c r="E50" s="53">
        <f t="shared" si="0"/>
        <v>4.1666666666666666E-3</v>
      </c>
      <c r="F50" s="55">
        <f t="shared" si="1"/>
        <v>74073.758494023845</v>
      </c>
      <c r="H50" s="54">
        <f t="shared" si="2"/>
        <v>1669276.9179926589</v>
      </c>
      <c r="I50" s="55">
        <f t="shared" si="3"/>
        <v>6926.4602406334388</v>
      </c>
      <c r="K50" s="55">
        <f t="shared" si="7"/>
        <v>1645599.4395329212</v>
      </c>
      <c r="L50" s="55">
        <f t="shared" si="4"/>
        <v>71547.801718822666</v>
      </c>
      <c r="M50" s="55">
        <f t="shared" si="5"/>
        <v>78474.261959456111</v>
      </c>
      <c r="O50" s="66">
        <f t="shared" si="6"/>
        <v>75945</v>
      </c>
      <c r="P50" s="71"/>
    </row>
    <row r="51" spans="2:16" x14ac:dyDescent="0.25">
      <c r="B51" s="72">
        <v>45474</v>
      </c>
      <c r="C51" s="65">
        <v>8</v>
      </c>
      <c r="D51" s="66">
        <v>75945</v>
      </c>
      <c r="E51" s="53">
        <f t="shared" si="0"/>
        <v>4.1666666666666666E-3</v>
      </c>
      <c r="F51" s="55">
        <f t="shared" si="1"/>
        <v>73766.398500272699</v>
      </c>
      <c r="H51" s="54">
        <f t="shared" si="2"/>
        <v>1599970.8009842951</v>
      </c>
      <c r="I51" s="55">
        <f t="shared" si="3"/>
        <v>6638.8829916360783</v>
      </c>
      <c r="K51" s="51">
        <f t="shared" si="7"/>
        <v>1574051.6378140985</v>
      </c>
      <c r="L51" s="51">
        <f t="shared" si="4"/>
        <v>71547.801718822666</v>
      </c>
      <c r="M51" s="51">
        <f t="shared" si="5"/>
        <v>78186.68471045875</v>
      </c>
      <c r="O51" s="66">
        <f t="shared" si="6"/>
        <v>75945</v>
      </c>
      <c r="P51" s="56"/>
    </row>
    <row r="52" spans="2:16" x14ac:dyDescent="0.25">
      <c r="B52" s="72">
        <v>45566</v>
      </c>
      <c r="C52" s="65">
        <v>9</v>
      </c>
      <c r="D52" s="66">
        <v>75945</v>
      </c>
      <c r="E52" s="50">
        <f t="shared" si="0"/>
        <v>4.1666666666666666E-3</v>
      </c>
      <c r="F52" s="51">
        <f t="shared" si="1"/>
        <v>73460.313859192742</v>
      </c>
      <c r="H52" s="54">
        <f t="shared" si="2"/>
        <v>1530375.9084883963</v>
      </c>
      <c r="I52" s="55">
        <f t="shared" si="3"/>
        <v>6350.1075041012291</v>
      </c>
      <c r="K52" s="51">
        <f t="shared" si="7"/>
        <v>1502503.8360952758</v>
      </c>
      <c r="L52" s="51">
        <f t="shared" si="4"/>
        <v>71547.801718822666</v>
      </c>
      <c r="M52" s="51">
        <f t="shared" si="5"/>
        <v>77897.909222923889</v>
      </c>
      <c r="O52" s="66">
        <f t="shared" si="6"/>
        <v>75945</v>
      </c>
      <c r="P52" s="52"/>
    </row>
    <row r="53" spans="2:16" x14ac:dyDescent="0.25">
      <c r="B53" s="72">
        <v>45658</v>
      </c>
      <c r="C53" s="65">
        <v>10</v>
      </c>
      <c r="D53" s="66">
        <v>75945</v>
      </c>
      <c r="E53" s="50">
        <f t="shared" si="0"/>
        <v>4.1666666666666666E-3</v>
      </c>
      <c r="F53" s="51">
        <f t="shared" si="1"/>
        <v>73155.499278864139</v>
      </c>
      <c r="H53" s="54">
        <f t="shared" si="2"/>
        <v>1460491.0372737646</v>
      </c>
      <c r="I53" s="55">
        <f t="shared" si="3"/>
        <v>6060.1287853683179</v>
      </c>
      <c r="K53" s="55">
        <f t="shared" si="7"/>
        <v>1430956.0343764531</v>
      </c>
      <c r="L53" s="55">
        <f t="shared" si="4"/>
        <v>71547.801718822666</v>
      </c>
      <c r="M53" s="55">
        <f t="shared" si="5"/>
        <v>77607.930504190983</v>
      </c>
      <c r="O53" s="66">
        <f t="shared" si="6"/>
        <v>75945</v>
      </c>
      <c r="P53" s="52"/>
    </row>
    <row r="54" spans="2:16" x14ac:dyDescent="0.25">
      <c r="B54" s="72">
        <v>45748</v>
      </c>
      <c r="C54" s="65">
        <v>11</v>
      </c>
      <c r="D54" s="66">
        <v>75945</v>
      </c>
      <c r="E54" s="53">
        <f t="shared" si="0"/>
        <v>4.1666666666666666E-3</v>
      </c>
      <c r="F54" s="51">
        <f t="shared" si="1"/>
        <v>72851.94948932527</v>
      </c>
      <c r="H54" s="54">
        <f t="shared" si="2"/>
        <v>1390314.9790957386</v>
      </c>
      <c r="I54" s="55">
        <f t="shared" si="3"/>
        <v>5768.9418219740191</v>
      </c>
      <c r="K54" s="55">
        <f>K53-L54</f>
        <v>1359408.2326576305</v>
      </c>
      <c r="L54" s="55">
        <f t="shared" si="4"/>
        <v>71547.801718822666</v>
      </c>
      <c r="M54" s="55">
        <f t="shared" si="5"/>
        <v>77316.743540796684</v>
      </c>
      <c r="O54" s="66">
        <f t="shared" si="6"/>
        <v>75945</v>
      </c>
      <c r="P54" s="56"/>
    </row>
    <row r="55" spans="2:16" x14ac:dyDescent="0.25">
      <c r="B55" s="72">
        <v>45839</v>
      </c>
      <c r="C55" s="65">
        <v>12</v>
      </c>
      <c r="D55" s="66">
        <v>75945</v>
      </c>
      <c r="E55" s="53">
        <f t="shared" si="0"/>
        <v>4.1666666666666666E-3</v>
      </c>
      <c r="F55" s="51">
        <f t="shared" si="1"/>
        <v>72549.659242481604</v>
      </c>
      <c r="H55" s="54">
        <f t="shared" si="2"/>
        <v>1319846.5206753041</v>
      </c>
      <c r="I55" s="55">
        <f t="shared" si="3"/>
        <v>5476.5415795655772</v>
      </c>
      <c r="K55" s="55">
        <f t="shared" si="7"/>
        <v>1287860.4309388078</v>
      </c>
      <c r="L55" s="55">
        <f t="shared" si="4"/>
        <v>71547.801718822666</v>
      </c>
      <c r="M55" s="55">
        <f t="shared" si="5"/>
        <v>77024.343298388238</v>
      </c>
      <c r="O55" s="66">
        <f t="shared" si="6"/>
        <v>75945</v>
      </c>
      <c r="P55" s="56"/>
    </row>
    <row r="56" spans="2:16" x14ac:dyDescent="0.25">
      <c r="B56" s="72">
        <v>45931</v>
      </c>
      <c r="C56" s="65">
        <v>13</v>
      </c>
      <c r="D56" s="66">
        <v>75945</v>
      </c>
      <c r="E56" s="53">
        <f t="shared" si="0"/>
        <v>4.1666666666666666E-3</v>
      </c>
      <c r="F56" s="51">
        <f t="shared" si="1"/>
        <v>72248.623312014868</v>
      </c>
      <c r="H56" s="54">
        <f t="shared" si="2"/>
        <v>1249084.4436781178</v>
      </c>
      <c r="I56" s="55">
        <f t="shared" si="3"/>
        <v>5182.9230028137672</v>
      </c>
      <c r="K56" s="55">
        <f t="shared" si="7"/>
        <v>1216312.6292199851</v>
      </c>
      <c r="L56" s="55">
        <f t="shared" si="4"/>
        <v>71547.801718822666</v>
      </c>
      <c r="M56" s="55">
        <f t="shared" si="5"/>
        <v>76730.724721636434</v>
      </c>
      <c r="O56" s="66">
        <f t="shared" si="6"/>
        <v>75945</v>
      </c>
      <c r="P56" s="56"/>
    </row>
    <row r="57" spans="2:16" x14ac:dyDescent="0.25">
      <c r="B57" s="72">
        <v>46023</v>
      </c>
      <c r="C57" s="65">
        <v>14</v>
      </c>
      <c r="D57" s="66">
        <v>75945</v>
      </c>
      <c r="E57" s="53">
        <f t="shared" si="0"/>
        <v>4.1666666666666666E-3</v>
      </c>
      <c r="F57" s="51">
        <f t="shared" si="1"/>
        <v>71948.836493292823</v>
      </c>
      <c r="H57" s="54">
        <f t="shared" si="2"/>
        <v>1178027.5246934432</v>
      </c>
      <c r="I57" s="55">
        <f t="shared" si="3"/>
        <v>4888.0810153254906</v>
      </c>
      <c r="K57" s="55">
        <f t="shared" si="7"/>
        <v>1144764.8275011624</v>
      </c>
      <c r="L57" s="55">
        <f t="shared" si="4"/>
        <v>71547.801718822666</v>
      </c>
      <c r="M57" s="55">
        <f t="shared" si="5"/>
        <v>76435.882734148152</v>
      </c>
      <c r="O57" s="66">
        <f t="shared" si="6"/>
        <v>75945</v>
      </c>
      <c r="P57" s="56"/>
    </row>
    <row r="58" spans="2:16" x14ac:dyDescent="0.25">
      <c r="B58" s="72">
        <v>46113</v>
      </c>
      <c r="C58" s="65">
        <v>15</v>
      </c>
      <c r="D58" s="66">
        <v>75945</v>
      </c>
      <c r="E58" s="53">
        <f t="shared" si="0"/>
        <v>4.1666666666666666E-3</v>
      </c>
      <c r="F58" s="51">
        <f t="shared" si="1"/>
        <v>71650.293603279162</v>
      </c>
      <c r="H58" s="54">
        <f t="shared" si="2"/>
        <v>1106674.5352129992</v>
      </c>
      <c r="I58" s="55">
        <f t="shared" si="3"/>
        <v>4592.0105195560136</v>
      </c>
      <c r="K58" s="55">
        <f t="shared" si="7"/>
        <v>1073217.0257823397</v>
      </c>
      <c r="L58" s="55">
        <f t="shared" si="4"/>
        <v>71547.801718822666</v>
      </c>
      <c r="M58" s="55">
        <f t="shared" si="5"/>
        <v>76139.812238378683</v>
      </c>
      <c r="O58" s="66">
        <f t="shared" si="6"/>
        <v>75945</v>
      </c>
      <c r="P58" s="56"/>
    </row>
    <row r="59" spans="2:16" x14ac:dyDescent="0.25">
      <c r="B59" s="72">
        <v>46204</v>
      </c>
      <c r="C59" s="65">
        <v>16</v>
      </c>
      <c r="D59" s="66">
        <v>75945</v>
      </c>
      <c r="E59" s="53">
        <f t="shared" si="0"/>
        <v>4.1666666666666666E-3</v>
      </c>
      <c r="F59" s="51">
        <f t="shared" si="1"/>
        <v>71352.989480443954</v>
      </c>
      <c r="H59" s="54">
        <f t="shared" si="2"/>
        <v>1035024.24160972</v>
      </c>
      <c r="I59" s="55">
        <f t="shared" si="3"/>
        <v>4294.7063967208296</v>
      </c>
      <c r="K59" s="55">
        <f t="shared" si="7"/>
        <v>1001669.2240635171</v>
      </c>
      <c r="L59" s="55">
        <f t="shared" si="4"/>
        <v>71547.801718822666</v>
      </c>
      <c r="M59" s="55">
        <f t="shared" si="5"/>
        <v>75842.508115543489</v>
      </c>
      <c r="O59" s="66">
        <f t="shared" si="6"/>
        <v>75945</v>
      </c>
      <c r="P59" s="56"/>
    </row>
    <row r="60" spans="2:16" x14ac:dyDescent="0.25">
      <c r="B60" s="72">
        <v>46296</v>
      </c>
      <c r="C60" s="65">
        <v>17</v>
      </c>
      <c r="D60" s="66">
        <v>75945</v>
      </c>
      <c r="E60" s="53">
        <f t="shared" si="0"/>
        <v>4.1666666666666666E-3</v>
      </c>
      <c r="F60" s="51">
        <f t="shared" si="1"/>
        <v>71056.918984674485</v>
      </c>
      <c r="H60" s="54">
        <f t="shared" si="2"/>
        <v>963075.40511642722</v>
      </c>
      <c r="I60" s="55">
        <f t="shared" si="3"/>
        <v>3996.163506707167</v>
      </c>
      <c r="K60" s="55">
        <f>K59-L60</f>
        <v>930121.42234469438</v>
      </c>
      <c r="L60" s="55">
        <f t="shared" si="4"/>
        <v>71547.801718822666</v>
      </c>
      <c r="M60" s="55">
        <f t="shared" si="5"/>
        <v>75543.965225529828</v>
      </c>
      <c r="O60" s="66">
        <f t="shared" si="6"/>
        <v>75945</v>
      </c>
      <c r="P60" s="56"/>
    </row>
    <row r="61" spans="2:16" x14ac:dyDescent="0.25">
      <c r="B61" s="72">
        <v>46388</v>
      </c>
      <c r="C61" s="65">
        <v>18</v>
      </c>
      <c r="D61" s="66">
        <v>75945</v>
      </c>
      <c r="E61" s="53">
        <f t="shared" si="0"/>
        <v>4.1666666666666666E-3</v>
      </c>
      <c r="F61" s="51">
        <f t="shared" si="1"/>
        <v>70762.076997186217</v>
      </c>
      <c r="H61" s="54">
        <f t="shared" si="2"/>
        <v>890826.78180441237</v>
      </c>
      <c r="I61" s="55">
        <f t="shared" si="3"/>
        <v>3696.3766879851132</v>
      </c>
      <c r="K61" s="51">
        <f t="shared" si="7"/>
        <v>858573.6206258717</v>
      </c>
      <c r="L61" s="51">
        <f t="shared" si="4"/>
        <v>71547.801718822666</v>
      </c>
      <c r="M61" s="51">
        <f t="shared" si="5"/>
        <v>75244.178406807783</v>
      </c>
      <c r="O61" s="66">
        <f t="shared" si="6"/>
        <v>75945</v>
      </c>
      <c r="P61" s="56"/>
    </row>
    <row r="62" spans="2:16" x14ac:dyDescent="0.25">
      <c r="B62" s="72">
        <v>46478</v>
      </c>
      <c r="C62" s="65">
        <v>19</v>
      </c>
      <c r="D62" s="66">
        <v>75945</v>
      </c>
      <c r="E62" s="50">
        <f t="shared" si="0"/>
        <v>4.1666666666666666E-3</v>
      </c>
      <c r="F62" s="51">
        <f t="shared" si="1"/>
        <v>70468.458420434414</v>
      </c>
      <c r="G62" s="57"/>
      <c r="H62" s="54">
        <f t="shared" si="2"/>
        <v>818277.1225619308</v>
      </c>
      <c r="I62" s="55">
        <f t="shared" si="3"/>
        <v>3395.3407575183846</v>
      </c>
      <c r="K62" s="51">
        <f t="shared" si="7"/>
        <v>787025.81890704902</v>
      </c>
      <c r="L62" s="51">
        <f t="shared" si="4"/>
        <v>71547.801718822666</v>
      </c>
      <c r="M62" s="51">
        <f t="shared" si="5"/>
        <v>74943.142476341047</v>
      </c>
      <c r="O62" s="66">
        <f t="shared" si="6"/>
        <v>75945</v>
      </c>
      <c r="P62" s="52"/>
    </row>
    <row r="63" spans="2:16" x14ac:dyDescent="0.25">
      <c r="B63" s="72">
        <v>46569</v>
      </c>
      <c r="C63" s="65">
        <v>20</v>
      </c>
      <c r="D63" s="66">
        <v>75945</v>
      </c>
      <c r="E63" s="50">
        <f t="shared" si="0"/>
        <v>4.1666666666666666E-3</v>
      </c>
      <c r="F63" s="51">
        <f t="shared" si="1"/>
        <v>70176.058178025953</v>
      </c>
      <c r="G63" s="57"/>
      <c r="H63" s="54">
        <f t="shared" si="2"/>
        <v>745425.17307260551</v>
      </c>
      <c r="I63" s="55">
        <f t="shared" si="3"/>
        <v>3093.0505106747114</v>
      </c>
      <c r="K63" s="51">
        <f t="shared" si="7"/>
        <v>715478.01718822634</v>
      </c>
      <c r="L63" s="51">
        <f t="shared" si="4"/>
        <v>71547.801718822666</v>
      </c>
      <c r="M63" s="51">
        <f t="shared" si="5"/>
        <v>74640.852229497381</v>
      </c>
      <c r="O63" s="66">
        <f t="shared" si="6"/>
        <v>75945</v>
      </c>
      <c r="P63" s="52"/>
    </row>
    <row r="64" spans="2:16" x14ac:dyDescent="0.25">
      <c r="B64" s="72">
        <v>46661</v>
      </c>
      <c r="C64" s="65">
        <v>21</v>
      </c>
      <c r="D64" s="66">
        <v>75945</v>
      </c>
      <c r="E64" s="53">
        <f t="shared" si="0"/>
        <v>4.1666666666666666E-3</v>
      </c>
      <c r="F64" s="51">
        <f t="shared" si="1"/>
        <v>69884.871214631654</v>
      </c>
      <c r="G64" s="57"/>
      <c r="H64" s="54">
        <f t="shared" si="2"/>
        <v>672269.67379374139</v>
      </c>
      <c r="I64" s="55">
        <f t="shared" si="3"/>
        <v>2789.5007211358561</v>
      </c>
      <c r="K64" s="51">
        <f t="shared" si="7"/>
        <v>643930.21546940366</v>
      </c>
      <c r="L64" s="51">
        <f t="shared" si="4"/>
        <v>71547.801718822666</v>
      </c>
      <c r="M64" s="51">
        <f t="shared" si="5"/>
        <v>74337.302439958527</v>
      </c>
      <c r="O64" s="66">
        <f t="shared" si="6"/>
        <v>75945</v>
      </c>
      <c r="P64" s="52"/>
    </row>
    <row r="65" spans="2:16" x14ac:dyDescent="0.25">
      <c r="B65" s="72">
        <v>44470</v>
      </c>
      <c r="C65" s="65">
        <v>22</v>
      </c>
      <c r="D65" s="66">
        <v>75945</v>
      </c>
      <c r="E65" s="53">
        <f t="shared" si="0"/>
        <v>4.1666666666666666E-3</v>
      </c>
      <c r="F65" s="51">
        <f t="shared" si="1"/>
        <v>69594.892495898748</v>
      </c>
      <c r="G65" s="57"/>
      <c r="H65" s="54">
        <f t="shared" ref="H65:H73" si="8">H64+I65-D65</f>
        <v>598809.35993454861</v>
      </c>
      <c r="I65" s="55">
        <f t="shared" ref="I65:I73" si="9">(H64-D65)*E65</f>
        <v>2484.6861408072559</v>
      </c>
      <c r="K65" s="51">
        <f t="shared" ref="K65:K73" si="10">K64-L65</f>
        <v>572382.41375058098</v>
      </c>
      <c r="L65" s="51">
        <f t="shared" si="4"/>
        <v>71547.801718822666</v>
      </c>
      <c r="M65" s="51">
        <f t="shared" ref="M65:M73" si="11">I65+L65</f>
        <v>74032.487859629924</v>
      </c>
      <c r="O65" s="66">
        <f t="shared" si="6"/>
        <v>75945</v>
      </c>
      <c r="P65" s="99"/>
    </row>
    <row r="66" spans="2:16" x14ac:dyDescent="0.25">
      <c r="B66" s="72">
        <v>44501</v>
      </c>
      <c r="C66" s="65">
        <v>23</v>
      </c>
      <c r="D66" s="66">
        <v>75945</v>
      </c>
      <c r="E66" s="53">
        <f t="shared" si="0"/>
        <v>4.1666666666666666E-3</v>
      </c>
      <c r="F66" s="51">
        <f t="shared" si="1"/>
        <v>69306.117008363901</v>
      </c>
      <c r="G66" s="57"/>
      <c r="H66" s="54">
        <f t="shared" si="8"/>
        <v>525042.96143427584</v>
      </c>
      <c r="I66" s="55">
        <f t="shared" si="9"/>
        <v>2178.601499727286</v>
      </c>
      <c r="K66" s="51">
        <f t="shared" si="10"/>
        <v>500834.6120317583</v>
      </c>
      <c r="L66" s="51">
        <f t="shared" si="4"/>
        <v>71547.801718822666</v>
      </c>
      <c r="M66" s="51">
        <f t="shared" si="11"/>
        <v>73726.403218549953</v>
      </c>
      <c r="O66" s="66">
        <f t="shared" si="6"/>
        <v>75945</v>
      </c>
      <c r="P66" s="99"/>
    </row>
    <row r="67" spans="2:16" x14ac:dyDescent="0.25">
      <c r="B67" s="72">
        <v>44531</v>
      </c>
      <c r="C67" s="65">
        <v>24</v>
      </c>
      <c r="D67" s="66">
        <v>75945</v>
      </c>
      <c r="E67" s="53">
        <f t="shared" si="0"/>
        <v>4.1666666666666666E-3</v>
      </c>
      <c r="F67" s="51">
        <f t="shared" si="1"/>
        <v>69018.539759366526</v>
      </c>
      <c r="G67" s="57"/>
      <c r="H67" s="54">
        <f t="shared" si="8"/>
        <v>450969.20294025203</v>
      </c>
      <c r="I67" s="55">
        <f t="shared" si="9"/>
        <v>1871.2415059761493</v>
      </c>
      <c r="K67" s="51">
        <f t="shared" si="10"/>
        <v>429286.81031293562</v>
      </c>
      <c r="L67" s="51">
        <f t="shared" si="4"/>
        <v>71547.801718822666</v>
      </c>
      <c r="M67" s="51">
        <f t="shared" si="11"/>
        <v>73419.043224798821</v>
      </c>
      <c r="O67" s="66">
        <f t="shared" si="6"/>
        <v>75945</v>
      </c>
      <c r="P67" s="99"/>
    </row>
    <row r="68" spans="2:16" x14ac:dyDescent="0.25">
      <c r="B68" s="72">
        <v>44562</v>
      </c>
      <c r="C68" s="65">
        <v>25</v>
      </c>
      <c r="D68" s="66">
        <v>75945</v>
      </c>
      <c r="E68" s="53">
        <f t="shared" si="0"/>
        <v>4.1666666666666666E-3</v>
      </c>
      <c r="F68" s="51">
        <f t="shared" si="1"/>
        <v>68732.155776962521</v>
      </c>
      <c r="G68" s="57"/>
      <c r="H68" s="54">
        <f t="shared" si="8"/>
        <v>376586.80378583638</v>
      </c>
      <c r="I68" s="55">
        <f t="shared" si="9"/>
        <v>1562.6008455843835</v>
      </c>
      <c r="K68" s="51">
        <f t="shared" si="10"/>
        <v>357739.00859411294</v>
      </c>
      <c r="L68" s="51">
        <f t="shared" si="4"/>
        <v>71547.801718822666</v>
      </c>
      <c r="M68" s="51">
        <f t="shared" si="11"/>
        <v>73110.40256440705</v>
      </c>
      <c r="O68" s="66">
        <f t="shared" si="6"/>
        <v>75945</v>
      </c>
      <c r="P68" s="99"/>
    </row>
    <row r="69" spans="2:16" x14ac:dyDescent="0.25">
      <c r="B69" s="72">
        <v>44593</v>
      </c>
      <c r="C69" s="65">
        <v>26</v>
      </c>
      <c r="D69" s="66">
        <v>75945</v>
      </c>
      <c r="E69" s="53">
        <f t="shared" si="0"/>
        <v>4.1666666666666666E-3</v>
      </c>
      <c r="F69" s="51">
        <f t="shared" si="1"/>
        <v>68446.960109838212</v>
      </c>
      <c r="G69" s="57"/>
      <c r="H69" s="54">
        <f t="shared" si="8"/>
        <v>301894.47796827735</v>
      </c>
      <c r="I69" s="55">
        <f t="shared" si="9"/>
        <v>1252.6741824409849</v>
      </c>
      <c r="K69" s="51">
        <f t="shared" si="10"/>
        <v>286191.20687529026</v>
      </c>
      <c r="L69" s="51">
        <f t="shared" si="4"/>
        <v>71547.801718822666</v>
      </c>
      <c r="M69" s="51">
        <f t="shared" si="11"/>
        <v>72800.47590126365</v>
      </c>
      <c r="O69" s="66">
        <f t="shared" si="6"/>
        <v>75945</v>
      </c>
      <c r="P69" s="99"/>
    </row>
    <row r="70" spans="2:16" x14ac:dyDescent="0.25">
      <c r="B70" s="72">
        <v>44621</v>
      </c>
      <c r="C70" s="65">
        <v>27</v>
      </c>
      <c r="D70" s="66">
        <v>75945</v>
      </c>
      <c r="E70" s="53">
        <f t="shared" si="0"/>
        <v>4.1666666666666666E-3</v>
      </c>
      <c r="F70" s="51">
        <f t="shared" si="1"/>
        <v>68162.947827224751</v>
      </c>
      <c r="G70" s="57"/>
      <c r="H70" s="54">
        <f t="shared" si="8"/>
        <v>226890.9341264785</v>
      </c>
      <c r="I70" s="55">
        <f t="shared" si="9"/>
        <v>941.45615820115563</v>
      </c>
      <c r="K70" s="51">
        <f t="shared" si="10"/>
        <v>214643.40515646758</v>
      </c>
      <c r="L70" s="51">
        <f t="shared" si="4"/>
        <v>71547.801718822666</v>
      </c>
      <c r="M70" s="51">
        <f t="shared" si="11"/>
        <v>72489.257877023818</v>
      </c>
      <c r="O70" s="66">
        <f t="shared" si="6"/>
        <v>75945</v>
      </c>
      <c r="P70" s="99"/>
    </row>
    <row r="71" spans="2:16" x14ac:dyDescent="0.25">
      <c r="B71" s="72">
        <v>44652</v>
      </c>
      <c r="C71" s="65">
        <v>28</v>
      </c>
      <c r="D71" s="66">
        <v>75945</v>
      </c>
      <c r="E71" s="53">
        <f t="shared" si="0"/>
        <v>4.1666666666666666E-3</v>
      </c>
      <c r="F71" s="51">
        <f t="shared" si="1"/>
        <v>67880.114018813038</v>
      </c>
      <c r="G71" s="57"/>
      <c r="H71" s="54">
        <f t="shared" si="8"/>
        <v>151574.87551867217</v>
      </c>
      <c r="I71" s="55">
        <f t="shared" si="9"/>
        <v>628.94139219366048</v>
      </c>
      <c r="K71" s="51">
        <f t="shared" si="10"/>
        <v>143095.6034376449</v>
      </c>
      <c r="L71" s="51">
        <f t="shared" si="4"/>
        <v>71547.801718822666</v>
      </c>
      <c r="M71" s="51">
        <f t="shared" si="11"/>
        <v>72176.743111016331</v>
      </c>
      <c r="O71" s="66">
        <f t="shared" si="6"/>
        <v>75945</v>
      </c>
      <c r="P71" s="99"/>
    </row>
    <row r="72" spans="2:16" x14ac:dyDescent="0.25">
      <c r="B72" s="72">
        <v>44682</v>
      </c>
      <c r="C72" s="65">
        <v>29</v>
      </c>
      <c r="D72" s="66">
        <v>75945</v>
      </c>
      <c r="E72" s="53">
        <f t="shared" si="0"/>
        <v>4.1666666666666666E-3</v>
      </c>
      <c r="F72" s="51">
        <f t="shared" si="1"/>
        <v>67598.453794668589</v>
      </c>
      <c r="G72" s="57"/>
      <c r="H72" s="54">
        <f t="shared" si="8"/>
        <v>75944.999999999971</v>
      </c>
      <c r="I72" s="55">
        <f t="shared" si="9"/>
        <v>315.12448132780071</v>
      </c>
      <c r="K72" s="51">
        <f t="shared" si="10"/>
        <v>71547.801718822229</v>
      </c>
      <c r="L72" s="51">
        <f t="shared" si="4"/>
        <v>71547.801718822666</v>
      </c>
      <c r="M72" s="51">
        <f t="shared" si="11"/>
        <v>71862.926200150469</v>
      </c>
      <c r="O72" s="66">
        <f t="shared" si="6"/>
        <v>75945</v>
      </c>
      <c r="P72" s="99"/>
    </row>
    <row r="73" spans="2:16" x14ac:dyDescent="0.25">
      <c r="B73" s="72">
        <v>44713</v>
      </c>
      <c r="C73" s="65">
        <v>30</v>
      </c>
      <c r="D73" s="66">
        <v>75945</v>
      </c>
      <c r="E73" s="53">
        <f t="shared" si="0"/>
        <v>4.1666666666666666E-3</v>
      </c>
      <c r="F73" s="51">
        <f t="shared" si="1"/>
        <v>67317.96228514715</v>
      </c>
      <c r="G73" s="57"/>
      <c r="H73" s="54">
        <f t="shared" si="8"/>
        <v>0</v>
      </c>
      <c r="I73" s="55">
        <f t="shared" si="9"/>
        <v>-1.2126596023639043E-13</v>
      </c>
      <c r="K73" s="51">
        <f t="shared" si="10"/>
        <v>-4.3655745685100555E-10</v>
      </c>
      <c r="L73" s="51">
        <f t="shared" si="4"/>
        <v>71547.801718822666</v>
      </c>
      <c r="M73" s="51">
        <f t="shared" si="11"/>
        <v>71547.801718822666</v>
      </c>
      <c r="O73" s="66">
        <f t="shared" si="6"/>
        <v>75945</v>
      </c>
      <c r="P73" s="99"/>
    </row>
    <row r="74" spans="2:16" x14ac:dyDescent="0.25">
      <c r="B74" s="100"/>
      <c r="C74" s="101"/>
      <c r="D74" s="102"/>
      <c r="E74" s="36"/>
      <c r="F74" s="103"/>
      <c r="G74" s="57"/>
      <c r="H74" s="104"/>
      <c r="I74" s="105"/>
      <c r="K74" s="51"/>
      <c r="L74" s="51"/>
      <c r="M74" s="51"/>
      <c r="O74" s="66"/>
      <c r="P74" s="99"/>
    </row>
    <row r="75" spans="2:16" ht="15.75" thickBot="1" x14ac:dyDescent="0.3">
      <c r="B75" s="58"/>
      <c r="C75" s="59"/>
      <c r="D75" s="60">
        <f>SUM(D44:D73)</f>
        <v>2278350</v>
      </c>
      <c r="E75" s="59"/>
      <c r="F75" s="60">
        <f>SUM(F44:F73)</f>
        <v>2146434.0515646799</v>
      </c>
      <c r="G75" s="61">
        <f>SUM(G62:G64)</f>
        <v>0</v>
      </c>
      <c r="H75" s="62"/>
      <c r="I75" s="60">
        <f>SUM(I44:I73)</f>
        <v>131915.94843532026</v>
      </c>
      <c r="J75" s="59"/>
      <c r="K75" s="62"/>
      <c r="L75" s="60">
        <f>SUM(L44:L73)</f>
        <v>2146434.0515646799</v>
      </c>
      <c r="M75" s="60">
        <f>SUM(M44:M73)</f>
        <v>2278350.0000000005</v>
      </c>
      <c r="N75" s="59"/>
      <c r="O75" s="63">
        <f>SUM(O44:O74)</f>
        <v>2278350</v>
      </c>
      <c r="P75" s="64"/>
    </row>
    <row r="77" spans="2:16" x14ac:dyDescent="0.25">
      <c r="M77" s="1">
        <f>D75-M75</f>
        <v>0</v>
      </c>
    </row>
    <row r="78" spans="2:16" x14ac:dyDescent="0.25">
      <c r="M78" s="106"/>
    </row>
  </sheetData>
  <pageMargins left="0.7" right="0.7" top="0.75" bottom="0.75" header="0.3" footer="0.3"/>
  <pageSetup paperSize="9" scale="63" orientation="landscape" r:id="rId1"/>
  <ignoredErrors>
    <ignoredError sqref="E1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8"/>
  <sheetViews>
    <sheetView showGridLines="0" tabSelected="1" view="pageBreakPreview" topLeftCell="A31" zoomScaleNormal="100" zoomScaleSheetLayoutView="100" workbookViewId="0">
      <selection activeCell="M43" sqref="M43"/>
    </sheetView>
  </sheetViews>
  <sheetFormatPr defaultRowHeight="15" x14ac:dyDescent="0.25"/>
  <cols>
    <col min="1" max="1" width="1.5703125" customWidth="1"/>
    <col min="2" max="2" width="14.140625" customWidth="1"/>
    <col min="3" max="3" width="7.42578125" bestFit="1" customWidth="1"/>
    <col min="4" max="4" width="11.7109375" customWidth="1"/>
    <col min="5" max="5" width="10.42578125" bestFit="1" customWidth="1"/>
    <col min="6" max="6" width="13.85546875" bestFit="1" customWidth="1"/>
    <col min="7" max="7" width="2.5703125" customWidth="1"/>
    <col min="8" max="8" width="16.42578125" customWidth="1"/>
    <col min="9" max="9" width="14.5703125" bestFit="1" customWidth="1"/>
    <col min="10" max="10" width="2.5703125" customWidth="1"/>
    <col min="11" max="11" width="13.42578125" bestFit="1" customWidth="1"/>
    <col min="12" max="12" width="14.5703125" style="1" bestFit="1" customWidth="1"/>
    <col min="13" max="13" width="12.140625" style="1" customWidth="1"/>
    <col min="14" max="14" width="1.5703125" customWidth="1"/>
    <col min="15" max="15" width="8" customWidth="1"/>
    <col min="16" max="16" width="14.140625" bestFit="1" customWidth="1"/>
    <col min="17" max="19" width="11.140625" bestFit="1" customWidth="1"/>
    <col min="20" max="20" width="9.42578125" bestFit="1" customWidth="1"/>
  </cols>
  <sheetData>
    <row r="1" spans="2:20" ht="8.4499999999999993" customHeight="1" thickBot="1" x14ac:dyDescent="0.3"/>
    <row r="2" spans="2:20" x14ac:dyDescent="0.25">
      <c r="B2" s="2" t="s">
        <v>0</v>
      </c>
      <c r="C2" s="3"/>
      <c r="D2" s="3"/>
      <c r="E2" s="3"/>
      <c r="F2" s="4"/>
      <c r="G2" s="4"/>
      <c r="H2" s="4"/>
      <c r="I2" s="4"/>
      <c r="J2" s="4"/>
      <c r="K2" s="4"/>
      <c r="L2" s="5"/>
      <c r="M2" s="110"/>
    </row>
    <row r="3" spans="2:20" ht="15.75" thickBot="1" x14ac:dyDescent="0.3">
      <c r="B3" s="7"/>
      <c r="C3" s="8"/>
      <c r="D3" s="8"/>
      <c r="E3" s="8"/>
      <c r="L3" s="9"/>
      <c r="M3" s="83"/>
    </row>
    <row r="4" spans="2:20" ht="22.5" x14ac:dyDescent="0.25">
      <c r="B4" s="11"/>
      <c r="C4" s="3"/>
      <c r="D4" s="126" t="s">
        <v>1</v>
      </c>
      <c r="E4" s="127" t="s">
        <v>2</v>
      </c>
      <c r="L4" s="9"/>
      <c r="M4" s="83"/>
      <c r="P4" t="s">
        <v>106</v>
      </c>
      <c r="Q4" s="20">
        <f>D5</f>
        <v>1386418.4661479355</v>
      </c>
    </row>
    <row r="5" spans="2:20" x14ac:dyDescent="0.25">
      <c r="B5" s="14" t="s">
        <v>3</v>
      </c>
      <c r="C5" s="8"/>
      <c r="D5" s="116">
        <f>K42</f>
        <v>1386418.4661479355</v>
      </c>
      <c r="E5" s="115">
        <f>K59</f>
        <v>1006271.4673654363</v>
      </c>
      <c r="F5" s="17"/>
      <c r="G5" s="20"/>
      <c r="L5" s="9"/>
      <c r="M5" s="83"/>
      <c r="P5" t="s">
        <v>107</v>
      </c>
      <c r="R5" s="20">
        <f>D5</f>
        <v>1386418.4661479355</v>
      </c>
    </row>
    <row r="6" spans="2:20" x14ac:dyDescent="0.25">
      <c r="B6" s="14" t="s">
        <v>4</v>
      </c>
      <c r="C6" s="8"/>
      <c r="D6" s="116">
        <f>H42</f>
        <v>1386418.4661479355</v>
      </c>
      <c r="E6" s="115">
        <f>H59</f>
        <v>1041108.1874098021</v>
      </c>
      <c r="F6" s="17" t="s">
        <v>96</v>
      </c>
      <c r="G6" s="20"/>
      <c r="L6" s="9"/>
      <c r="M6" s="83"/>
    </row>
    <row r="7" spans="2:20" ht="6.6" customHeight="1" x14ac:dyDescent="0.25">
      <c r="B7" s="14"/>
      <c r="C7" s="8"/>
      <c r="D7" s="8"/>
      <c r="E7" s="18"/>
      <c r="F7" s="57"/>
      <c r="L7" s="9"/>
      <c r="M7" s="83"/>
      <c r="P7" t="s">
        <v>108</v>
      </c>
      <c r="Q7" s="20">
        <f>E9</f>
        <v>268339.05796411651</v>
      </c>
    </row>
    <row r="8" spans="2:20" x14ac:dyDescent="0.25">
      <c r="B8" s="14" t="s">
        <v>5</v>
      </c>
      <c r="C8" s="8"/>
      <c r="D8" s="8"/>
      <c r="E8" s="113">
        <f>SUM(I48:I59)</f>
        <v>57510.305513639207</v>
      </c>
      <c r="L8" s="9"/>
      <c r="M8" s="83"/>
      <c r="P8" t="s">
        <v>109</v>
      </c>
      <c r="R8" s="20">
        <f>E9</f>
        <v>268339.05796411651</v>
      </c>
    </row>
    <row r="9" spans="2:20" x14ac:dyDescent="0.25">
      <c r="B9" s="14" t="s">
        <v>95</v>
      </c>
      <c r="C9" s="8"/>
      <c r="D9" s="8"/>
      <c r="E9" s="113">
        <f>SUM(L48:L59)</f>
        <v>268339.05796411651</v>
      </c>
      <c r="F9" s="20"/>
      <c r="L9" s="9"/>
      <c r="M9" s="83"/>
    </row>
    <row r="10" spans="2:20" ht="15.75" thickBot="1" x14ac:dyDescent="0.3">
      <c r="B10" s="21" t="s">
        <v>6</v>
      </c>
      <c r="C10" s="22"/>
      <c r="D10" s="22"/>
      <c r="E10" s="114">
        <f>SUM(D48:D59)</f>
        <v>303780</v>
      </c>
      <c r="F10" s="20"/>
      <c r="L10" s="9"/>
      <c r="M10" s="83"/>
      <c r="P10" t="s">
        <v>112</v>
      </c>
      <c r="Q10" s="20">
        <f>R12-Q11</f>
        <v>246269.69448636079</v>
      </c>
      <c r="S10" s="20"/>
    </row>
    <row r="11" spans="2:20" x14ac:dyDescent="0.25">
      <c r="B11" s="24"/>
      <c r="F11" s="20"/>
      <c r="L11" s="9"/>
      <c r="M11" s="83"/>
      <c r="P11" t="s">
        <v>110</v>
      </c>
      <c r="Q11" s="20">
        <f>E8</f>
        <v>57510.305513639207</v>
      </c>
    </row>
    <row r="12" spans="2:20" x14ac:dyDescent="0.25">
      <c r="B12" s="25" t="s">
        <v>7</v>
      </c>
      <c r="C12" s="26"/>
      <c r="D12" s="26"/>
      <c r="E12" s="26"/>
      <c r="F12" s="27"/>
      <c r="G12" s="26"/>
      <c r="H12" s="26"/>
      <c r="L12" s="9"/>
      <c r="M12" s="83"/>
      <c r="P12" t="s">
        <v>111</v>
      </c>
      <c r="R12" s="20">
        <f>E10</f>
        <v>303780</v>
      </c>
    </row>
    <row r="13" spans="2:20" x14ac:dyDescent="0.25">
      <c r="B13" s="28"/>
      <c r="C13" s="26"/>
      <c r="D13" s="26"/>
      <c r="E13" s="26"/>
      <c r="F13" s="26"/>
      <c r="G13" s="26"/>
      <c r="H13" s="26"/>
      <c r="L13" s="9"/>
      <c r="M13" s="83"/>
      <c r="T13" s="20">
        <f>R12-Q14</f>
        <v>278465</v>
      </c>
    </row>
    <row r="14" spans="2:20" x14ac:dyDescent="0.25">
      <c r="B14" s="29" t="s">
        <v>8</v>
      </c>
      <c r="C14" s="26"/>
      <c r="D14" s="26"/>
      <c r="E14" s="26"/>
      <c r="F14" s="26"/>
      <c r="G14" s="26"/>
      <c r="H14" s="26"/>
      <c r="I14" s="30" t="s">
        <v>99</v>
      </c>
      <c r="J14" s="31"/>
      <c r="K14" s="31"/>
      <c r="L14" s="32"/>
      <c r="M14" s="83"/>
      <c r="P14" t="s">
        <v>111</v>
      </c>
      <c r="Q14">
        <v>25315</v>
      </c>
    </row>
    <row r="15" spans="2:20" x14ac:dyDescent="0.25">
      <c r="B15" s="29" t="s">
        <v>9</v>
      </c>
      <c r="C15" s="8"/>
      <c r="D15" s="26"/>
      <c r="E15" s="26"/>
      <c r="F15" s="26"/>
      <c r="G15" s="26"/>
      <c r="H15" s="26"/>
      <c r="I15" s="30"/>
      <c r="J15" s="31"/>
      <c r="K15" s="31"/>
      <c r="L15" s="32"/>
      <c r="M15" s="83"/>
      <c r="P15" t="s">
        <v>113</v>
      </c>
      <c r="R15">
        <v>25315</v>
      </c>
    </row>
    <row r="16" spans="2:20" x14ac:dyDescent="0.25">
      <c r="B16" s="29" t="s">
        <v>10</v>
      </c>
      <c r="C16" s="8"/>
      <c r="D16" s="26"/>
      <c r="E16" s="26"/>
      <c r="F16" s="26"/>
      <c r="G16" s="26"/>
      <c r="H16" s="26"/>
      <c r="I16" s="30"/>
      <c r="J16" s="31"/>
      <c r="K16" s="31"/>
      <c r="L16" s="32"/>
      <c r="M16" s="83"/>
    </row>
    <row r="17" spans="2:13" x14ac:dyDescent="0.25">
      <c r="B17" s="29" t="s">
        <v>11</v>
      </c>
      <c r="C17" s="8"/>
      <c r="D17" s="26"/>
      <c r="E17" s="26"/>
      <c r="F17" s="26"/>
      <c r="G17" s="26"/>
      <c r="H17" s="26"/>
      <c r="I17" s="30"/>
      <c r="J17" s="31"/>
      <c r="K17" s="31"/>
      <c r="L17" s="32"/>
      <c r="M17" s="83"/>
    </row>
    <row r="18" spans="2:13" x14ac:dyDescent="0.25">
      <c r="B18" s="29" t="s">
        <v>12</v>
      </c>
      <c r="C18" s="8"/>
      <c r="D18" s="26"/>
      <c r="E18" s="26"/>
      <c r="F18" s="26"/>
      <c r="G18" s="26"/>
      <c r="H18" s="26" t="s">
        <v>13</v>
      </c>
      <c r="I18" s="33">
        <v>44774</v>
      </c>
      <c r="J18" s="31"/>
      <c r="K18" s="31"/>
      <c r="L18" s="32"/>
      <c r="M18" s="83"/>
    </row>
    <row r="19" spans="2:13" x14ac:dyDescent="0.25">
      <c r="B19" s="29"/>
      <c r="C19" s="8"/>
      <c r="D19" s="26"/>
      <c r="E19" s="26"/>
      <c r="F19" s="26"/>
      <c r="G19" s="26"/>
      <c r="H19" s="26" t="s">
        <v>14</v>
      </c>
      <c r="I19" s="33">
        <v>46660</v>
      </c>
      <c r="J19" s="31"/>
      <c r="K19" s="31"/>
      <c r="L19" s="32"/>
      <c r="M19" s="83"/>
    </row>
    <row r="20" spans="2:13" x14ac:dyDescent="0.25">
      <c r="B20" s="29" t="s">
        <v>15</v>
      </c>
      <c r="C20" s="26"/>
      <c r="D20" s="26"/>
      <c r="E20" s="26"/>
      <c r="F20" s="8"/>
      <c r="G20" s="8"/>
      <c r="H20" s="26"/>
      <c r="I20" s="34">
        <v>0.05</v>
      </c>
      <c r="J20" s="35"/>
      <c r="K20" s="31"/>
      <c r="L20" s="32"/>
      <c r="M20" s="83"/>
    </row>
    <row r="21" spans="2:13" x14ac:dyDescent="0.25">
      <c r="B21" s="29" t="s">
        <v>16</v>
      </c>
      <c r="C21" s="26"/>
      <c r="D21" s="26"/>
      <c r="E21" s="26"/>
      <c r="F21" s="8"/>
      <c r="G21" s="8"/>
      <c r="H21" s="26" t="s">
        <v>92</v>
      </c>
      <c r="I21" s="30">
        <v>62</v>
      </c>
      <c r="J21" s="31"/>
      <c r="K21" s="31"/>
      <c r="L21" s="32"/>
      <c r="M21" s="83"/>
    </row>
    <row r="22" spans="2:13" x14ac:dyDescent="0.25">
      <c r="B22" s="24"/>
      <c r="L22" s="9"/>
      <c r="M22" s="83"/>
    </row>
    <row r="23" spans="2:13" x14ac:dyDescent="0.25">
      <c r="B23" s="7" t="s">
        <v>100</v>
      </c>
      <c r="L23" s="9"/>
      <c r="M23" s="83"/>
    </row>
    <row r="24" spans="2:13" x14ac:dyDescent="0.25">
      <c r="B24" s="24"/>
      <c r="L24" s="9"/>
      <c r="M24" s="83"/>
    </row>
    <row r="25" spans="2:13" x14ac:dyDescent="0.25">
      <c r="B25" s="14" t="s">
        <v>17</v>
      </c>
      <c r="C25" s="8"/>
      <c r="D25" s="8"/>
      <c r="E25" s="37"/>
      <c r="F25" s="38">
        <f>F105</f>
        <v>1386418.4661479355</v>
      </c>
      <c r="H25" s="8" t="s">
        <v>4</v>
      </c>
      <c r="I25" s="8"/>
      <c r="J25" s="8"/>
      <c r="K25" s="8"/>
      <c r="L25" s="39">
        <f>F35</f>
        <v>1386418.4661479355</v>
      </c>
      <c r="M25" s="83"/>
    </row>
    <row r="26" spans="2:13" x14ac:dyDescent="0.25">
      <c r="B26" s="14"/>
      <c r="C26" s="8"/>
      <c r="D26" s="8"/>
      <c r="E26" s="37"/>
      <c r="H26" s="8"/>
      <c r="I26" s="8"/>
      <c r="J26" s="8"/>
      <c r="K26" s="8"/>
      <c r="L26" s="9"/>
      <c r="M26" s="83"/>
    </row>
    <row r="27" spans="2:13" x14ac:dyDescent="0.25">
      <c r="B27" s="14" t="s">
        <v>18</v>
      </c>
      <c r="C27" s="8"/>
      <c r="D27" s="8"/>
      <c r="E27" s="37" t="s">
        <v>19</v>
      </c>
      <c r="F27" s="98"/>
      <c r="H27" s="8" t="s">
        <v>20</v>
      </c>
      <c r="I27" s="8"/>
      <c r="J27" s="8"/>
      <c r="K27" s="37" t="s">
        <v>19</v>
      </c>
      <c r="L27" s="39">
        <v>0</v>
      </c>
      <c r="M27" s="83"/>
    </row>
    <row r="28" spans="2:13" x14ac:dyDescent="0.25">
      <c r="B28" s="14"/>
      <c r="C28" s="8"/>
      <c r="D28" s="8"/>
      <c r="E28" s="37"/>
      <c r="H28" s="8"/>
      <c r="I28" s="8"/>
      <c r="J28" s="8"/>
      <c r="K28" s="37"/>
      <c r="L28" s="9"/>
      <c r="M28" s="83"/>
    </row>
    <row r="29" spans="2:13" x14ac:dyDescent="0.25">
      <c r="B29" s="14" t="s">
        <v>21</v>
      </c>
      <c r="C29" s="8"/>
      <c r="D29" s="8"/>
      <c r="E29" s="37" t="s">
        <v>19</v>
      </c>
      <c r="F29" s="40"/>
      <c r="H29" s="8" t="s">
        <v>22</v>
      </c>
      <c r="I29" s="8"/>
      <c r="J29" s="8"/>
      <c r="K29" s="37" t="s">
        <v>19</v>
      </c>
      <c r="L29" s="39"/>
      <c r="M29" s="83"/>
    </row>
    <row r="30" spans="2:13" x14ac:dyDescent="0.25">
      <c r="B30" s="14"/>
      <c r="C30" s="8"/>
      <c r="D30" s="8"/>
      <c r="E30" s="37"/>
      <c r="H30" s="8"/>
      <c r="I30" s="8"/>
      <c r="J30" s="8"/>
      <c r="K30" s="37"/>
      <c r="L30" s="9"/>
      <c r="M30" s="83"/>
    </row>
    <row r="31" spans="2:13" x14ac:dyDescent="0.25">
      <c r="B31" s="14" t="s">
        <v>23</v>
      </c>
      <c r="C31" s="8"/>
      <c r="D31" s="8"/>
      <c r="E31" s="37" t="s">
        <v>19</v>
      </c>
      <c r="F31" s="40"/>
      <c r="H31" s="8" t="s">
        <v>24</v>
      </c>
      <c r="I31" s="8"/>
      <c r="J31" s="8"/>
      <c r="K31" s="37" t="s">
        <v>19</v>
      </c>
      <c r="L31" s="39"/>
      <c r="M31" s="83"/>
    </row>
    <row r="32" spans="2:13" x14ac:dyDescent="0.25">
      <c r="B32" s="14"/>
      <c r="C32" s="8"/>
      <c r="D32" s="8"/>
      <c r="E32" s="37"/>
      <c r="H32" s="8"/>
      <c r="I32" s="8"/>
      <c r="J32" s="8"/>
      <c r="K32" s="37"/>
      <c r="L32" s="9"/>
      <c r="M32" s="83"/>
    </row>
    <row r="33" spans="1:14" x14ac:dyDescent="0.25">
      <c r="B33" s="14" t="s">
        <v>25</v>
      </c>
      <c r="C33" s="8"/>
      <c r="D33" s="8"/>
      <c r="E33" s="37" t="s">
        <v>19</v>
      </c>
      <c r="F33" s="40"/>
      <c r="H33" s="8" t="s">
        <v>26</v>
      </c>
      <c r="I33" s="8"/>
      <c r="J33" s="8"/>
      <c r="K33" s="37" t="s">
        <v>27</v>
      </c>
      <c r="L33" s="39"/>
      <c r="M33" s="83"/>
    </row>
    <row r="34" spans="1:14" x14ac:dyDescent="0.25">
      <c r="B34" s="14"/>
      <c r="C34" s="8"/>
      <c r="D34" s="8"/>
      <c r="E34" s="8"/>
      <c r="H34" s="8"/>
      <c r="I34" s="8"/>
      <c r="J34" s="8"/>
      <c r="K34" s="8"/>
      <c r="L34" s="9"/>
      <c r="M34" s="83"/>
    </row>
    <row r="35" spans="1:14" x14ac:dyDescent="0.25">
      <c r="B35" s="7" t="s">
        <v>105</v>
      </c>
      <c r="C35" s="8"/>
      <c r="D35" s="8"/>
      <c r="E35" s="8"/>
      <c r="F35" s="41">
        <f>F25+F27+F29+F31+F33</f>
        <v>1386418.4661479355</v>
      </c>
      <c r="H35" s="42" t="s">
        <v>104</v>
      </c>
      <c r="I35" s="8"/>
      <c r="J35" s="8"/>
      <c r="K35" s="8"/>
      <c r="L35" s="39">
        <f>L25+L27+L29+L31-L33</f>
        <v>1386418.4661479355</v>
      </c>
      <c r="M35" s="83"/>
    </row>
    <row r="36" spans="1:14" x14ac:dyDescent="0.25">
      <c r="B36" s="24"/>
      <c r="H36" s="26"/>
      <c r="I36" s="26"/>
      <c r="J36" s="26"/>
      <c r="K36" s="26"/>
      <c r="L36" s="9"/>
      <c r="M36" s="83"/>
    </row>
    <row r="37" spans="1:14" x14ac:dyDescent="0.25">
      <c r="B37" s="24"/>
      <c r="H37" s="43" t="s">
        <v>93</v>
      </c>
      <c r="I37" s="26"/>
      <c r="J37" s="26"/>
      <c r="K37" s="26"/>
      <c r="L37" s="39">
        <f>L35/I21</f>
        <v>22361.588163676377</v>
      </c>
      <c r="M37" s="83"/>
    </row>
    <row r="38" spans="1:14" ht="8.4499999999999993" customHeight="1" thickBot="1" x14ac:dyDescent="0.3">
      <c r="B38" s="58"/>
      <c r="C38" s="59"/>
      <c r="D38" s="59"/>
      <c r="E38" s="59"/>
      <c r="F38" s="59"/>
      <c r="G38" s="59"/>
      <c r="H38" s="129"/>
      <c r="I38" s="130"/>
      <c r="J38" s="130"/>
      <c r="K38" s="130"/>
      <c r="L38" s="130"/>
      <c r="M38" s="131"/>
    </row>
    <row r="39" spans="1:14" ht="8.4499999999999993" customHeight="1" x14ac:dyDescent="0.25">
      <c r="B39" s="24"/>
      <c r="L39" s="9"/>
      <c r="M39" s="83"/>
    </row>
    <row r="40" spans="1:14" ht="33.75" x14ac:dyDescent="0.25">
      <c r="B40" s="44" t="s">
        <v>29</v>
      </c>
      <c r="C40" s="45" t="s">
        <v>30</v>
      </c>
      <c r="D40" s="46" t="s">
        <v>31</v>
      </c>
      <c r="E40" s="46" t="s">
        <v>32</v>
      </c>
      <c r="F40" s="46" t="s">
        <v>33</v>
      </c>
      <c r="H40" s="46" t="s">
        <v>34</v>
      </c>
      <c r="I40" s="46" t="s">
        <v>35</v>
      </c>
      <c r="K40" s="46" t="s">
        <v>36</v>
      </c>
      <c r="L40" s="46" t="s">
        <v>94</v>
      </c>
      <c r="M40" s="111" t="s">
        <v>37</v>
      </c>
    </row>
    <row r="41" spans="1:14" x14ac:dyDescent="0.25">
      <c r="B41" s="44" t="s">
        <v>39</v>
      </c>
      <c r="C41" s="45" t="s">
        <v>40</v>
      </c>
      <c r="D41" s="46" t="s">
        <v>41</v>
      </c>
      <c r="E41" s="46" t="s">
        <v>42</v>
      </c>
      <c r="F41" s="46" t="s">
        <v>43</v>
      </c>
      <c r="H41" s="46" t="s">
        <v>44</v>
      </c>
      <c r="I41" s="46" t="s">
        <v>45</v>
      </c>
      <c r="K41" s="46" t="s">
        <v>46</v>
      </c>
      <c r="L41" s="47" t="s">
        <v>47</v>
      </c>
      <c r="M41" s="111" t="s">
        <v>48</v>
      </c>
    </row>
    <row r="42" spans="1:14" x14ac:dyDescent="0.25">
      <c r="B42" s="24"/>
      <c r="H42" s="67">
        <f>F35</f>
        <v>1386418.4661479355</v>
      </c>
      <c r="I42" s="68"/>
      <c r="K42" s="69">
        <f>L35</f>
        <v>1386418.4661479355</v>
      </c>
      <c r="L42" s="55"/>
      <c r="M42" s="56"/>
    </row>
    <row r="43" spans="1:14" x14ac:dyDescent="0.25">
      <c r="B43" s="112">
        <v>44774</v>
      </c>
      <c r="C43" s="65">
        <v>1</v>
      </c>
      <c r="D43" s="66">
        <v>25315</v>
      </c>
      <c r="E43" s="53">
        <f>$I$20/12</f>
        <v>4.1666666666666666E-3</v>
      </c>
      <c r="F43" s="55">
        <f>D43/(1+E43)^(C43-1)</f>
        <v>25315</v>
      </c>
      <c r="H43" s="54">
        <f>H42+I43-D43</f>
        <v>1366774.7305902184</v>
      </c>
      <c r="I43" s="55">
        <f>(H42-D43)*E43</f>
        <v>5671.2644422830645</v>
      </c>
      <c r="K43" s="55">
        <f>K42-L43</f>
        <v>1364056.877984259</v>
      </c>
      <c r="L43" s="55">
        <f>$L$37</f>
        <v>22361.588163676377</v>
      </c>
      <c r="M43" s="56">
        <f>I43+L43</f>
        <v>28032.852605959441</v>
      </c>
    </row>
    <row r="44" spans="1:14" x14ac:dyDescent="0.25">
      <c r="B44" s="112">
        <v>44805</v>
      </c>
      <c r="C44" s="65">
        <v>2</v>
      </c>
      <c r="D44" s="66">
        <v>25315</v>
      </c>
      <c r="E44" s="53">
        <f t="shared" ref="E44:E104" si="0">$I$20/12</f>
        <v>4.1666666666666666E-3</v>
      </c>
      <c r="F44" s="55">
        <f>D44/(1+E44)^(C44-1)</f>
        <v>25209.958506224066</v>
      </c>
      <c r="G44" s="20"/>
      <c r="H44" s="54">
        <f t="shared" ref="H44:H104" si="1">H43+I44-D44</f>
        <v>1347049.1461343444</v>
      </c>
      <c r="I44" s="55">
        <f>(H43-D44)*E44</f>
        <v>5589.4155441259099</v>
      </c>
      <c r="K44" s="55">
        <f>K43-L44</f>
        <v>1341695.2898205826</v>
      </c>
      <c r="L44" s="55">
        <f t="shared" ref="L44:L104" si="2">$L$37</f>
        <v>22361.588163676377</v>
      </c>
      <c r="M44" s="56">
        <f t="shared" ref="M44:M103" si="3">I44+L44</f>
        <v>27951.003707802287</v>
      </c>
    </row>
    <row r="45" spans="1:14" x14ac:dyDescent="0.25">
      <c r="B45" s="112">
        <v>44835</v>
      </c>
      <c r="C45" s="65">
        <v>3</v>
      </c>
      <c r="D45" s="66">
        <v>25315</v>
      </c>
      <c r="E45" s="53">
        <f t="shared" si="0"/>
        <v>4.1666666666666666E-3</v>
      </c>
      <c r="F45" s="55">
        <f t="shared" ref="F44:F104" si="4">D45/(1+E45)^(C45-1)</f>
        <v>25105.35286926878</v>
      </c>
      <c r="H45" s="54">
        <f t="shared" si="1"/>
        <v>1327241.3717432376</v>
      </c>
      <c r="I45" s="55">
        <f t="shared" ref="I44:I104" si="5">(H44-D45)*E45</f>
        <v>5507.2256088931017</v>
      </c>
      <c r="K45" s="55">
        <f>K44-L45</f>
        <v>1319333.7016569062</v>
      </c>
      <c r="L45" s="55">
        <f t="shared" si="2"/>
        <v>22361.588163676377</v>
      </c>
      <c r="M45" s="56">
        <f t="shared" si="3"/>
        <v>27868.81377256948</v>
      </c>
    </row>
    <row r="46" spans="1:14" x14ac:dyDescent="0.25">
      <c r="B46" s="112">
        <v>44866</v>
      </c>
      <c r="C46" s="65">
        <v>4</v>
      </c>
      <c r="D46" s="66">
        <v>25315</v>
      </c>
      <c r="E46" s="53">
        <f t="shared" si="0"/>
        <v>4.1666666666666666E-3</v>
      </c>
      <c r="F46" s="55">
        <f t="shared" si="4"/>
        <v>25001.181280599612</v>
      </c>
      <c r="H46" s="54">
        <f t="shared" si="1"/>
        <v>1307351.0649588343</v>
      </c>
      <c r="I46" s="55">
        <f t="shared" si="5"/>
        <v>5424.6932155968234</v>
      </c>
      <c r="K46" s="55">
        <f t="shared" ref="K46:K104" si="6">K45-L46</f>
        <v>1296972.1134932297</v>
      </c>
      <c r="L46" s="55">
        <f t="shared" si="2"/>
        <v>22361.588163676377</v>
      </c>
      <c r="M46" s="56">
        <f t="shared" si="3"/>
        <v>27786.281379273201</v>
      </c>
    </row>
    <row r="47" spans="1:14" s="109" customFormat="1" x14ac:dyDescent="0.25">
      <c r="A47"/>
      <c r="B47" s="112">
        <v>44896</v>
      </c>
      <c r="C47" s="65">
        <v>5</v>
      </c>
      <c r="D47" s="66">
        <v>25315</v>
      </c>
      <c r="E47" s="53">
        <f t="shared" si="0"/>
        <v>4.1666666666666666E-3</v>
      </c>
      <c r="F47" s="55">
        <f t="shared" si="4"/>
        <v>24897.441939186338</v>
      </c>
      <c r="G47"/>
      <c r="H47" s="54">
        <f t="shared" si="1"/>
        <v>1287377.8818961629</v>
      </c>
      <c r="I47" s="55">
        <f>(H46-D47)*E47</f>
        <v>5341.8169373284763</v>
      </c>
      <c r="J47"/>
      <c r="K47" s="55">
        <f>K46-L47</f>
        <v>1274610.5253295533</v>
      </c>
      <c r="L47" s="55">
        <f t="shared" si="2"/>
        <v>22361.588163676377</v>
      </c>
      <c r="M47" s="56">
        <f t="shared" si="3"/>
        <v>27703.405101004853</v>
      </c>
      <c r="N47"/>
    </row>
    <row r="48" spans="1:14" x14ac:dyDescent="0.25">
      <c r="B48" s="112">
        <v>44927</v>
      </c>
      <c r="C48" s="118">
        <v>6</v>
      </c>
      <c r="D48" s="119">
        <v>25315</v>
      </c>
      <c r="E48" s="120">
        <f t="shared" si="0"/>
        <v>4.1666666666666666E-3</v>
      </c>
      <c r="F48" s="121">
        <f t="shared" si="4"/>
        <v>24794.133051471872</v>
      </c>
      <c r="H48" s="122">
        <f t="shared" si="1"/>
        <v>1267321.4772373969</v>
      </c>
      <c r="I48" s="121">
        <f t="shared" si="5"/>
        <v>5258.5953412340123</v>
      </c>
      <c r="K48" s="121">
        <f t="shared" si="6"/>
        <v>1252248.9371658769</v>
      </c>
      <c r="L48" s="121">
        <f t="shared" si="2"/>
        <v>22361.588163676377</v>
      </c>
      <c r="M48" s="123">
        <f t="shared" si="3"/>
        <v>27620.18350491039</v>
      </c>
    </row>
    <row r="49" spans="1:14" x14ac:dyDescent="0.25">
      <c r="B49" s="112">
        <v>44958</v>
      </c>
      <c r="C49" s="118">
        <v>7</v>
      </c>
      <c r="D49" s="119">
        <v>25315</v>
      </c>
      <c r="E49" s="120">
        <f t="shared" si="0"/>
        <v>4.1666666666666666E-3</v>
      </c>
      <c r="F49" s="121">
        <f t="shared" si="4"/>
        <v>24691.252831341284</v>
      </c>
      <c r="H49" s="122">
        <f t="shared" si="1"/>
        <v>1247181.504225886</v>
      </c>
      <c r="I49" s="121">
        <f t="shared" si="5"/>
        <v>5175.0269884891532</v>
      </c>
      <c r="K49" s="121">
        <f t="shared" si="6"/>
        <v>1229887.3490022004</v>
      </c>
      <c r="L49" s="121">
        <f t="shared" si="2"/>
        <v>22361.588163676377</v>
      </c>
      <c r="M49" s="123">
        <f t="shared" si="3"/>
        <v>27536.61515216553</v>
      </c>
    </row>
    <row r="50" spans="1:14" x14ac:dyDescent="0.25">
      <c r="B50" s="112">
        <v>44986</v>
      </c>
      <c r="C50" s="118">
        <v>8</v>
      </c>
      <c r="D50" s="119">
        <v>25315</v>
      </c>
      <c r="E50" s="120">
        <f t="shared" si="0"/>
        <v>4.1666666666666666E-3</v>
      </c>
      <c r="F50" s="121">
        <f t="shared" si="4"/>
        <v>24588.7995000909</v>
      </c>
      <c r="H50" s="122">
        <f t="shared" si="1"/>
        <v>1226957.6146601604</v>
      </c>
      <c r="I50" s="121">
        <f t="shared" si="5"/>
        <v>5091.1104342745248</v>
      </c>
      <c r="K50" s="121">
        <f t="shared" si="6"/>
        <v>1207525.760838524</v>
      </c>
      <c r="L50" s="121">
        <f t="shared" si="2"/>
        <v>22361.588163676377</v>
      </c>
      <c r="M50" s="123">
        <f t="shared" si="3"/>
        <v>27452.698597950901</v>
      </c>
    </row>
    <row r="51" spans="1:14" x14ac:dyDescent="0.25">
      <c r="B51" s="112">
        <v>45017</v>
      </c>
      <c r="C51" s="118">
        <v>9</v>
      </c>
      <c r="D51" s="119">
        <v>25315</v>
      </c>
      <c r="E51" s="120">
        <f t="shared" si="0"/>
        <v>4.1666666666666666E-3</v>
      </c>
      <c r="F51" s="121">
        <f t="shared" si="4"/>
        <v>24486.771286397579</v>
      </c>
      <c r="H51" s="122">
        <f t="shared" si="1"/>
        <v>1206649.4588879109</v>
      </c>
      <c r="I51" s="121">
        <f t="shared" si="5"/>
        <v>5006.8442277506683</v>
      </c>
      <c r="K51" s="121">
        <f t="shared" si="6"/>
        <v>1185164.1726748475</v>
      </c>
      <c r="L51" s="121">
        <f t="shared" si="2"/>
        <v>22361.588163676377</v>
      </c>
      <c r="M51" s="123">
        <f t="shared" si="3"/>
        <v>27368.432391427046</v>
      </c>
    </row>
    <row r="52" spans="1:14" x14ac:dyDescent="0.25">
      <c r="B52" s="112">
        <v>45047</v>
      </c>
      <c r="C52" s="118">
        <v>10</v>
      </c>
      <c r="D52" s="119">
        <v>25315</v>
      </c>
      <c r="E52" s="120">
        <f t="shared" si="0"/>
        <v>4.1666666666666666E-3</v>
      </c>
      <c r="F52" s="121">
        <f t="shared" si="4"/>
        <v>24385.166426288044</v>
      </c>
      <c r="H52" s="122">
        <f t="shared" si="1"/>
        <v>1186256.685799944</v>
      </c>
      <c r="I52" s="121">
        <f t="shared" si="5"/>
        <v>4922.226912032962</v>
      </c>
      <c r="K52" s="121">
        <f t="shared" si="6"/>
        <v>1162802.5845111711</v>
      </c>
      <c r="L52" s="121">
        <f t="shared" si="2"/>
        <v>22361.588163676377</v>
      </c>
      <c r="M52" s="123">
        <f t="shared" si="3"/>
        <v>27283.815075709339</v>
      </c>
    </row>
    <row r="53" spans="1:14" x14ac:dyDescent="0.25">
      <c r="B53" s="112">
        <v>45078</v>
      </c>
      <c r="C53" s="118">
        <v>11</v>
      </c>
      <c r="D53" s="119">
        <v>25315</v>
      </c>
      <c r="E53" s="120">
        <f t="shared" si="0"/>
        <v>4.1666666666666666E-3</v>
      </c>
      <c r="F53" s="121">
        <f t="shared" si="4"/>
        <v>24283.983163108423</v>
      </c>
      <c r="H53" s="122">
        <f t="shared" si="1"/>
        <v>1165778.9428241104</v>
      </c>
      <c r="I53" s="121">
        <f t="shared" si="5"/>
        <v>4837.2570241664334</v>
      </c>
      <c r="K53" s="121">
        <f>K52-L53</f>
        <v>1140440.9963474947</v>
      </c>
      <c r="L53" s="121">
        <f t="shared" si="2"/>
        <v>22361.588163676377</v>
      </c>
      <c r="M53" s="123">
        <f t="shared" si="3"/>
        <v>27198.84518784281</v>
      </c>
    </row>
    <row r="54" spans="1:14" x14ac:dyDescent="0.25">
      <c r="B54" s="112">
        <v>45108</v>
      </c>
      <c r="C54" s="118">
        <v>12</v>
      </c>
      <c r="D54" s="119">
        <v>25315</v>
      </c>
      <c r="E54" s="120">
        <f t="shared" si="0"/>
        <v>4.1666666666666666E-3</v>
      </c>
      <c r="F54" s="121">
        <f t="shared" si="4"/>
        <v>24183.219747493869</v>
      </c>
      <c r="H54" s="122">
        <f t="shared" si="1"/>
        <v>1145215.875919211</v>
      </c>
      <c r="I54" s="121">
        <f t="shared" si="5"/>
        <v>4751.9330951004595</v>
      </c>
      <c r="K54" s="121">
        <f t="shared" si="6"/>
        <v>1118079.4081838182</v>
      </c>
      <c r="L54" s="121">
        <f t="shared" si="2"/>
        <v>22361.588163676377</v>
      </c>
      <c r="M54" s="123">
        <f t="shared" si="3"/>
        <v>27113.521258776836</v>
      </c>
    </row>
    <row r="55" spans="1:14" x14ac:dyDescent="0.25">
      <c r="B55" s="112">
        <v>45139</v>
      </c>
      <c r="C55" s="118">
        <v>13</v>
      </c>
      <c r="D55" s="119">
        <v>25315</v>
      </c>
      <c r="E55" s="120">
        <f t="shared" si="0"/>
        <v>4.1666666666666666E-3</v>
      </c>
      <c r="F55" s="121">
        <f t="shared" si="4"/>
        <v>24082.874437338291</v>
      </c>
      <c r="H55" s="122">
        <f t="shared" si="1"/>
        <v>1124567.1295688744</v>
      </c>
      <c r="I55" s="121">
        <f t="shared" si="5"/>
        <v>4666.2536496633793</v>
      </c>
      <c r="K55" s="121">
        <f t="shared" si="6"/>
        <v>1095717.8200201418</v>
      </c>
      <c r="L55" s="121">
        <f t="shared" si="2"/>
        <v>22361.588163676377</v>
      </c>
      <c r="M55" s="123">
        <f t="shared" si="3"/>
        <v>27027.841813339757</v>
      </c>
    </row>
    <row r="56" spans="1:14" x14ac:dyDescent="0.25">
      <c r="B56" s="112">
        <v>45170</v>
      </c>
      <c r="C56" s="118">
        <v>14</v>
      </c>
      <c r="D56" s="119">
        <v>25315</v>
      </c>
      <c r="E56" s="120">
        <f t="shared" si="0"/>
        <v>4.1666666666666666E-3</v>
      </c>
      <c r="F56" s="121">
        <f t="shared" si="4"/>
        <v>23982.945497764274</v>
      </c>
      <c r="H56" s="122">
        <f t="shared" si="1"/>
        <v>1103832.3467754114</v>
      </c>
      <c r="I56" s="121">
        <f t="shared" si="5"/>
        <v>4580.2172065369768</v>
      </c>
      <c r="K56" s="121">
        <f t="shared" si="6"/>
        <v>1073356.2318564653</v>
      </c>
      <c r="L56" s="121">
        <f t="shared" si="2"/>
        <v>22361.588163676377</v>
      </c>
      <c r="M56" s="123">
        <f t="shared" si="3"/>
        <v>26941.805370213355</v>
      </c>
    </row>
    <row r="57" spans="1:14" x14ac:dyDescent="0.25">
      <c r="B57" s="112">
        <v>45200</v>
      </c>
      <c r="C57" s="118">
        <v>15</v>
      </c>
      <c r="D57" s="119">
        <v>25315</v>
      </c>
      <c r="E57" s="120">
        <f t="shared" si="0"/>
        <v>4.1666666666666666E-3</v>
      </c>
      <c r="F57" s="121">
        <f t="shared" si="4"/>
        <v>23883.431201093055</v>
      </c>
      <c r="H57" s="122">
        <f t="shared" si="1"/>
        <v>1083011.1690536423</v>
      </c>
      <c r="I57" s="121">
        <f t="shared" si="5"/>
        <v>4493.8222782308803</v>
      </c>
      <c r="K57" s="121">
        <f t="shared" si="6"/>
        <v>1050994.6436927889</v>
      </c>
      <c r="L57" s="121">
        <f t="shared" si="2"/>
        <v>22361.588163676377</v>
      </c>
      <c r="M57" s="123">
        <f t="shared" si="3"/>
        <v>26855.410441907257</v>
      </c>
    </row>
    <row r="58" spans="1:14" x14ac:dyDescent="0.25">
      <c r="B58" s="112">
        <v>45231</v>
      </c>
      <c r="C58" s="118">
        <v>16</v>
      </c>
      <c r="D58" s="119">
        <v>25315</v>
      </c>
      <c r="E58" s="120">
        <f t="shared" si="0"/>
        <v>4.1666666666666666E-3</v>
      </c>
      <c r="F58" s="121">
        <f t="shared" si="4"/>
        <v>23784.32982681465</v>
      </c>
      <c r="H58" s="122">
        <f t="shared" si="1"/>
        <v>1062103.2364246992</v>
      </c>
      <c r="I58" s="121">
        <f t="shared" si="5"/>
        <v>4407.0673710568426</v>
      </c>
      <c r="K58" s="121">
        <f t="shared" si="6"/>
        <v>1028633.0555291126</v>
      </c>
      <c r="L58" s="121">
        <f t="shared" si="2"/>
        <v>22361.588163676377</v>
      </c>
      <c r="M58" s="123">
        <f t="shared" si="3"/>
        <v>26768.655534733218</v>
      </c>
    </row>
    <row r="59" spans="1:14" s="109" customFormat="1" x14ac:dyDescent="0.25">
      <c r="A59"/>
      <c r="B59" s="112">
        <v>45261</v>
      </c>
      <c r="C59" s="118">
        <v>17</v>
      </c>
      <c r="D59" s="119">
        <v>25315</v>
      </c>
      <c r="E59" s="120">
        <f t="shared" si="0"/>
        <v>4.1666666666666666E-3</v>
      </c>
      <c r="F59" s="121">
        <f t="shared" si="4"/>
        <v>23685.639661558165</v>
      </c>
      <c r="G59"/>
      <c r="H59" s="124">
        <f t="shared" si="1"/>
        <v>1041108.1874098021</v>
      </c>
      <c r="I59" s="121">
        <f t="shared" si="5"/>
        <v>4319.9509851029134</v>
      </c>
      <c r="J59"/>
      <c r="K59" s="117">
        <f>K58-L59</f>
        <v>1006271.4673654363</v>
      </c>
      <c r="L59" s="121">
        <f t="shared" si="2"/>
        <v>22361.588163676377</v>
      </c>
      <c r="M59" s="123">
        <f t="shared" si="3"/>
        <v>26681.539148779291</v>
      </c>
      <c r="N59"/>
    </row>
    <row r="60" spans="1:14" x14ac:dyDescent="0.25">
      <c r="B60" s="112">
        <v>45292</v>
      </c>
      <c r="C60" s="65">
        <v>18</v>
      </c>
      <c r="D60" s="66">
        <v>25315</v>
      </c>
      <c r="E60" s="53">
        <f t="shared" si="0"/>
        <v>4.1666666666666666E-3</v>
      </c>
      <c r="F60" s="55">
        <f t="shared" si="4"/>
        <v>23587.358999062071</v>
      </c>
      <c r="H60" s="54">
        <f t="shared" si="1"/>
        <v>1020025.6590240096</v>
      </c>
      <c r="I60" s="55">
        <f t="shared" si="5"/>
        <v>4232.4716142075085</v>
      </c>
      <c r="K60" s="55">
        <f t="shared" si="6"/>
        <v>983909.87920175993</v>
      </c>
      <c r="L60" s="55">
        <f t="shared" si="2"/>
        <v>22361.588163676377</v>
      </c>
      <c r="M60" s="56">
        <f t="shared" si="3"/>
        <v>26594.059777883886</v>
      </c>
    </row>
    <row r="61" spans="1:14" x14ac:dyDescent="0.25">
      <c r="B61" s="112">
        <v>45323</v>
      </c>
      <c r="C61" s="65">
        <v>19</v>
      </c>
      <c r="D61" s="66">
        <v>25315</v>
      </c>
      <c r="E61" s="50">
        <f t="shared" si="0"/>
        <v>4.1666666666666666E-3</v>
      </c>
      <c r="F61" s="55">
        <f t="shared" si="4"/>
        <v>23489.486140144803</v>
      </c>
      <c r="G61" s="57"/>
      <c r="H61" s="54">
        <f t="shared" si="1"/>
        <v>998855.28676994296</v>
      </c>
      <c r="I61" s="55">
        <f t="shared" si="5"/>
        <v>4144.6277459333733</v>
      </c>
      <c r="K61" s="55">
        <f t="shared" si="6"/>
        <v>961548.29103808361</v>
      </c>
      <c r="L61" s="55">
        <f t="shared" si="2"/>
        <v>22361.588163676377</v>
      </c>
      <c r="M61" s="56">
        <f t="shared" si="3"/>
        <v>26506.215909609749</v>
      </c>
    </row>
    <row r="62" spans="1:14" x14ac:dyDescent="0.25">
      <c r="B62" s="112">
        <v>45352</v>
      </c>
      <c r="C62" s="65">
        <v>20</v>
      </c>
      <c r="D62" s="66">
        <v>25315</v>
      </c>
      <c r="E62" s="50">
        <f t="shared" si="0"/>
        <v>4.1666666666666666E-3</v>
      </c>
      <c r="F62" s="55">
        <f t="shared" si="4"/>
        <v>23392.01939267532</v>
      </c>
      <c r="G62" s="57"/>
      <c r="H62" s="54">
        <f t="shared" si="1"/>
        <v>977596.70463148435</v>
      </c>
      <c r="I62" s="55">
        <f t="shared" si="5"/>
        <v>4056.4178615414289</v>
      </c>
      <c r="K62" s="55">
        <f t="shared" si="6"/>
        <v>939186.70287440729</v>
      </c>
      <c r="L62" s="55">
        <f t="shared" si="2"/>
        <v>22361.588163676377</v>
      </c>
      <c r="M62" s="56">
        <f t="shared" si="3"/>
        <v>26418.006025217805</v>
      </c>
    </row>
    <row r="63" spans="1:14" x14ac:dyDescent="0.25">
      <c r="B63" s="112">
        <v>45383</v>
      </c>
      <c r="C63" s="65">
        <v>21</v>
      </c>
      <c r="D63" s="66">
        <v>25315</v>
      </c>
      <c r="E63" s="53">
        <f t="shared" si="0"/>
        <v>4.1666666666666666E-3</v>
      </c>
      <c r="F63" s="55">
        <f t="shared" si="4"/>
        <v>23294.957071543886</v>
      </c>
      <c r="G63" s="57"/>
      <c r="H63" s="54">
        <f t="shared" si="1"/>
        <v>956249.54506744887</v>
      </c>
      <c r="I63" s="55">
        <f t="shared" si="5"/>
        <v>3967.8404359645178</v>
      </c>
      <c r="K63" s="55">
        <f t="shared" si="6"/>
        <v>916825.11471073097</v>
      </c>
      <c r="L63" s="55">
        <f t="shared" si="2"/>
        <v>22361.588163676377</v>
      </c>
      <c r="M63" s="56">
        <f t="shared" si="3"/>
        <v>26329.428599640894</v>
      </c>
    </row>
    <row r="64" spans="1:14" x14ac:dyDescent="0.25">
      <c r="B64" s="112">
        <v>45413</v>
      </c>
      <c r="C64" s="65">
        <v>22</v>
      </c>
      <c r="D64" s="66">
        <v>25315</v>
      </c>
      <c r="E64" s="53">
        <f t="shared" si="0"/>
        <v>4.1666666666666666E-3</v>
      </c>
      <c r="F64" s="55">
        <f t="shared" si="4"/>
        <v>23198.297498632917</v>
      </c>
      <c r="G64" s="57"/>
      <c r="H64" s="54">
        <f t="shared" si="1"/>
        <v>934813.43900522985</v>
      </c>
      <c r="I64" s="55">
        <f t="shared" si="5"/>
        <v>3878.893937781037</v>
      </c>
      <c r="K64" s="55">
        <f t="shared" si="6"/>
        <v>894463.52654705464</v>
      </c>
      <c r="L64" s="55">
        <f t="shared" si="2"/>
        <v>22361.588163676377</v>
      </c>
      <c r="M64" s="56">
        <f t="shared" si="3"/>
        <v>26240.482101457415</v>
      </c>
    </row>
    <row r="65" spans="2:13" x14ac:dyDescent="0.25">
      <c r="B65" s="112">
        <v>45444</v>
      </c>
      <c r="C65" s="65">
        <v>23</v>
      </c>
      <c r="D65" s="66">
        <v>25315</v>
      </c>
      <c r="E65" s="53">
        <f t="shared" si="0"/>
        <v>4.1666666666666666E-3</v>
      </c>
      <c r="F65" s="55">
        <f t="shared" si="4"/>
        <v>23102.039002787969</v>
      </c>
      <c r="G65" s="57"/>
      <c r="H65" s="54">
        <f t="shared" si="1"/>
        <v>913288.01583441836</v>
      </c>
      <c r="I65" s="55">
        <f t="shared" si="5"/>
        <v>3789.5768291884579</v>
      </c>
      <c r="K65" s="55">
        <f t="shared" si="6"/>
        <v>872101.93838337832</v>
      </c>
      <c r="L65" s="55">
        <f t="shared" si="2"/>
        <v>22361.588163676377</v>
      </c>
      <c r="M65" s="56">
        <f t="shared" si="3"/>
        <v>26151.164992864833</v>
      </c>
    </row>
    <row r="66" spans="2:13" x14ac:dyDescent="0.25">
      <c r="B66" s="112">
        <v>45474</v>
      </c>
      <c r="C66" s="65">
        <v>24</v>
      </c>
      <c r="D66" s="66">
        <v>25315</v>
      </c>
      <c r="E66" s="53">
        <f t="shared" si="0"/>
        <v>4.1666666666666666E-3</v>
      </c>
      <c r="F66" s="55">
        <f t="shared" si="4"/>
        <v>23006.179919788839</v>
      </c>
      <c r="G66" s="57"/>
      <c r="H66" s="54">
        <f t="shared" si="1"/>
        <v>891672.90340039507</v>
      </c>
      <c r="I66" s="55">
        <f t="shared" si="5"/>
        <v>3699.8875659767432</v>
      </c>
      <c r="K66" s="55">
        <f t="shared" si="6"/>
        <v>849740.350219702</v>
      </c>
      <c r="L66" s="55">
        <f t="shared" si="2"/>
        <v>22361.588163676377</v>
      </c>
      <c r="M66" s="56">
        <f t="shared" si="3"/>
        <v>26061.475729653121</v>
      </c>
    </row>
    <row r="67" spans="2:13" x14ac:dyDescent="0.25">
      <c r="B67" s="112">
        <v>45505</v>
      </c>
      <c r="C67" s="65">
        <v>25</v>
      </c>
      <c r="D67" s="66">
        <v>25315</v>
      </c>
      <c r="E67" s="53">
        <f t="shared" si="0"/>
        <v>4.1666666666666666E-3</v>
      </c>
      <c r="F67" s="55">
        <f t="shared" si="4"/>
        <v>22910.718592320842</v>
      </c>
      <c r="G67" s="57"/>
      <c r="H67" s="54">
        <f t="shared" si="1"/>
        <v>869967.72799789673</v>
      </c>
      <c r="I67" s="55">
        <f t="shared" si="5"/>
        <v>3609.8245975016462</v>
      </c>
      <c r="K67" s="55">
        <f t="shared" si="6"/>
        <v>827378.76205602568</v>
      </c>
      <c r="L67" s="55">
        <f t="shared" si="2"/>
        <v>22361.588163676377</v>
      </c>
      <c r="M67" s="56">
        <f t="shared" si="3"/>
        <v>25971.412761178024</v>
      </c>
    </row>
    <row r="68" spans="2:13" x14ac:dyDescent="0.25">
      <c r="B68" s="112">
        <v>45536</v>
      </c>
      <c r="C68" s="65">
        <v>26</v>
      </c>
      <c r="D68" s="66">
        <v>25315</v>
      </c>
      <c r="E68" s="53">
        <f t="shared" si="0"/>
        <v>4.1666666666666666E-3</v>
      </c>
      <c r="F68" s="55">
        <f t="shared" si="4"/>
        <v>22815.653369946067</v>
      </c>
      <c r="G68" s="57"/>
      <c r="H68" s="54">
        <f t="shared" si="1"/>
        <v>848172.11436455464</v>
      </c>
      <c r="I68" s="55">
        <f t="shared" si="5"/>
        <v>3519.3863666579032</v>
      </c>
      <c r="K68" s="55">
        <f t="shared" si="6"/>
        <v>805017.17389234935</v>
      </c>
      <c r="L68" s="55">
        <f t="shared" si="2"/>
        <v>22361.588163676377</v>
      </c>
      <c r="M68" s="56">
        <f t="shared" si="3"/>
        <v>25880.974530334279</v>
      </c>
    </row>
    <row r="69" spans="2:13" x14ac:dyDescent="0.25">
      <c r="B69" s="112">
        <v>45566</v>
      </c>
      <c r="C69" s="65">
        <v>27</v>
      </c>
      <c r="D69" s="66">
        <v>25315</v>
      </c>
      <c r="E69" s="53">
        <f t="shared" si="0"/>
        <v>4.1666666666666666E-3</v>
      </c>
      <c r="F69" s="55">
        <f t="shared" si="4"/>
        <v>22720.982609074916</v>
      </c>
      <c r="G69" s="57"/>
      <c r="H69" s="54">
        <f t="shared" si="1"/>
        <v>826285.68567440694</v>
      </c>
      <c r="I69" s="55">
        <f t="shared" si="5"/>
        <v>3428.5713098523111</v>
      </c>
      <c r="K69" s="55">
        <f t="shared" si="6"/>
        <v>782655.58572867303</v>
      </c>
      <c r="L69" s="55">
        <f t="shared" si="2"/>
        <v>22361.588163676377</v>
      </c>
      <c r="M69" s="56">
        <f t="shared" si="3"/>
        <v>25790.159473528689</v>
      </c>
    </row>
    <row r="70" spans="2:13" x14ac:dyDescent="0.25">
      <c r="B70" s="112">
        <v>45597</v>
      </c>
      <c r="C70" s="65">
        <v>28</v>
      </c>
      <c r="D70" s="66">
        <v>25315</v>
      </c>
      <c r="E70" s="53">
        <f t="shared" si="0"/>
        <v>4.1666666666666666E-3</v>
      </c>
      <c r="F70" s="55">
        <f t="shared" si="4"/>
        <v>22626.704672937682</v>
      </c>
      <c r="G70" s="57"/>
      <c r="H70" s="54">
        <f t="shared" si="1"/>
        <v>804308.06353138364</v>
      </c>
      <c r="I70" s="55">
        <f t="shared" si="5"/>
        <v>3337.3778569766955</v>
      </c>
      <c r="K70" s="55">
        <f t="shared" si="6"/>
        <v>760293.99756499671</v>
      </c>
      <c r="L70" s="55">
        <f t="shared" si="2"/>
        <v>22361.588163676377</v>
      </c>
      <c r="M70" s="56">
        <f t="shared" si="3"/>
        <v>25698.966020653072</v>
      </c>
    </row>
    <row r="71" spans="2:13" x14ac:dyDescent="0.25">
      <c r="B71" s="112">
        <v>45627</v>
      </c>
      <c r="C71" s="65">
        <v>29</v>
      </c>
      <c r="D71" s="66">
        <v>25315</v>
      </c>
      <c r="E71" s="50">
        <f t="shared" si="0"/>
        <v>4.1666666666666666E-3</v>
      </c>
      <c r="F71" s="55">
        <f t="shared" si="4"/>
        <v>22532.817931556197</v>
      </c>
      <c r="G71" s="57"/>
      <c r="H71" s="54">
        <f t="shared" si="1"/>
        <v>782238.86796276446</v>
      </c>
      <c r="I71" s="55">
        <f t="shared" si="5"/>
        <v>3245.804431380765</v>
      </c>
      <c r="K71" s="55">
        <f t="shared" si="6"/>
        <v>737932.40940132039</v>
      </c>
      <c r="L71" s="55">
        <f t="shared" si="2"/>
        <v>22361.588163676377</v>
      </c>
      <c r="M71" s="56">
        <f t="shared" si="3"/>
        <v>25607.392595057143</v>
      </c>
    </row>
    <row r="72" spans="2:13" x14ac:dyDescent="0.25">
      <c r="B72" s="112">
        <v>45658</v>
      </c>
      <c r="C72" s="65">
        <v>30</v>
      </c>
      <c r="D72" s="66">
        <v>25315</v>
      </c>
      <c r="E72" s="50">
        <f t="shared" si="0"/>
        <v>4.1666666666666666E-3</v>
      </c>
      <c r="F72" s="55">
        <f t="shared" si="4"/>
        <v>22439.320761715713</v>
      </c>
      <c r="G72" s="57"/>
      <c r="H72" s="54">
        <f t="shared" si="1"/>
        <v>760077.71741260926</v>
      </c>
      <c r="I72" s="55">
        <f t="shared" si="5"/>
        <v>3153.8494498448517</v>
      </c>
      <c r="K72" s="55">
        <f t="shared" si="6"/>
        <v>715570.82123764406</v>
      </c>
      <c r="L72" s="55">
        <f t="shared" si="2"/>
        <v>22361.588163676377</v>
      </c>
      <c r="M72" s="56">
        <f t="shared" si="3"/>
        <v>25515.43761352123</v>
      </c>
    </row>
    <row r="73" spans="2:13" x14ac:dyDescent="0.25">
      <c r="B73" s="112">
        <v>45689</v>
      </c>
      <c r="C73" s="65">
        <v>31</v>
      </c>
      <c r="D73" s="66">
        <v>25315</v>
      </c>
      <c r="E73" s="53">
        <f t="shared" si="0"/>
        <v>4.1666666666666666E-3</v>
      </c>
      <c r="F73" s="55">
        <f t="shared" si="4"/>
        <v>22346.211546936811</v>
      </c>
      <c r="G73" s="57"/>
      <c r="H73" s="54">
        <f t="shared" si="1"/>
        <v>737824.22873516183</v>
      </c>
      <c r="I73" s="55">
        <f t="shared" si="5"/>
        <v>3061.5113225525383</v>
      </c>
      <c r="K73" s="55">
        <f t="shared" si="6"/>
        <v>693209.23307396774</v>
      </c>
      <c r="L73" s="55">
        <f t="shared" si="2"/>
        <v>22361.588163676377</v>
      </c>
      <c r="M73" s="56">
        <f t="shared" si="3"/>
        <v>25423.099486228915</v>
      </c>
    </row>
    <row r="74" spans="2:13" x14ac:dyDescent="0.25">
      <c r="B74" s="112">
        <v>45717</v>
      </c>
      <c r="C74" s="65">
        <v>32</v>
      </c>
      <c r="D74" s="66">
        <v>25315</v>
      </c>
      <c r="E74" s="53">
        <f t="shared" si="0"/>
        <v>4.1666666666666666E-3</v>
      </c>
      <c r="F74" s="55">
        <f t="shared" si="4"/>
        <v>22253.488677447436</v>
      </c>
      <c r="G74" s="57"/>
      <c r="H74" s="54">
        <f t="shared" si="1"/>
        <v>715478.01718822506</v>
      </c>
      <c r="I74" s="55">
        <f t="shared" si="5"/>
        <v>2968.7884530631741</v>
      </c>
      <c r="K74" s="55">
        <f t="shared" si="6"/>
        <v>670847.64491029142</v>
      </c>
      <c r="L74" s="55">
        <f t="shared" si="2"/>
        <v>22361.588163676377</v>
      </c>
      <c r="M74" s="56">
        <f t="shared" si="3"/>
        <v>25330.376616739552</v>
      </c>
    </row>
    <row r="75" spans="2:13" x14ac:dyDescent="0.25">
      <c r="B75" s="112">
        <v>45748</v>
      </c>
      <c r="C75" s="65">
        <v>33</v>
      </c>
      <c r="D75" s="66">
        <v>25315</v>
      </c>
      <c r="E75" s="53">
        <f t="shared" si="0"/>
        <v>4.1666666666666666E-3</v>
      </c>
      <c r="F75" s="55">
        <f t="shared" si="4"/>
        <v>22161.150550155129</v>
      </c>
      <c r="G75" s="57"/>
      <c r="H75" s="54">
        <f t="shared" si="1"/>
        <v>693038.6964265093</v>
      </c>
      <c r="I75" s="55">
        <f t="shared" si="5"/>
        <v>2875.6792382842709</v>
      </c>
      <c r="K75" s="55">
        <f t="shared" si="6"/>
        <v>648486.0567466151</v>
      </c>
      <c r="L75" s="55">
        <f t="shared" si="2"/>
        <v>22361.588163676377</v>
      </c>
      <c r="M75" s="56">
        <f t="shared" si="3"/>
        <v>25237.267401960649</v>
      </c>
    </row>
    <row r="76" spans="2:13" x14ac:dyDescent="0.25">
      <c r="B76" s="112">
        <v>45778</v>
      </c>
      <c r="C76" s="65">
        <v>34</v>
      </c>
      <c r="D76" s="66">
        <v>25315</v>
      </c>
      <c r="E76" s="53">
        <f t="shared" si="0"/>
        <v>4.1666666666666666E-3</v>
      </c>
      <c r="F76" s="55">
        <f t="shared" si="4"/>
        <v>22069.195568619216</v>
      </c>
      <c r="G76" s="57"/>
      <c r="H76" s="54">
        <f t="shared" si="1"/>
        <v>670505.87849495304</v>
      </c>
      <c r="I76" s="55">
        <f t="shared" si="5"/>
        <v>2782.1820684437889</v>
      </c>
      <c r="K76" s="55">
        <f t="shared" si="6"/>
        <v>626124.46858293877</v>
      </c>
      <c r="L76" s="55">
        <f t="shared" si="2"/>
        <v>22361.588163676377</v>
      </c>
      <c r="M76" s="56">
        <f t="shared" si="3"/>
        <v>25143.770232120165</v>
      </c>
    </row>
    <row r="77" spans="2:13" x14ac:dyDescent="0.25">
      <c r="B77" s="112">
        <v>45809</v>
      </c>
      <c r="C77" s="65">
        <v>35</v>
      </c>
      <c r="D77" s="66">
        <v>25315</v>
      </c>
      <c r="E77" s="53">
        <f t="shared" si="0"/>
        <v>4.1666666666666666E-3</v>
      </c>
      <c r="F77" s="55">
        <f t="shared" si="4"/>
        <v>21977.622143023287</v>
      </c>
      <c r="G77" s="57"/>
      <c r="H77" s="54">
        <f t="shared" si="1"/>
        <v>647879.17382201529</v>
      </c>
      <c r="I77" s="55">
        <f t="shared" si="5"/>
        <v>2688.2953270623043</v>
      </c>
      <c r="K77" s="55">
        <f t="shared" si="6"/>
        <v>603762.88041926245</v>
      </c>
      <c r="L77" s="55">
        <f t="shared" si="2"/>
        <v>22361.588163676377</v>
      </c>
      <c r="M77" s="56">
        <f t="shared" si="3"/>
        <v>25049.883490738681</v>
      </c>
    </row>
    <row r="78" spans="2:13" x14ac:dyDescent="0.25">
      <c r="B78" s="112">
        <v>45839</v>
      </c>
      <c r="C78" s="65">
        <v>36</v>
      </c>
      <c r="D78" s="66">
        <v>25315</v>
      </c>
      <c r="E78" s="53">
        <f t="shared" si="0"/>
        <v>4.1666666666666666E-3</v>
      </c>
      <c r="F78" s="55">
        <f t="shared" si="4"/>
        <v>21886.428690147666</v>
      </c>
      <c r="G78" s="57"/>
      <c r="H78" s="54">
        <f t="shared" si="1"/>
        <v>625158.19121294038</v>
      </c>
      <c r="I78" s="55">
        <f t="shared" si="5"/>
        <v>2594.0173909250639</v>
      </c>
      <c r="K78" s="55">
        <f t="shared" si="6"/>
        <v>581401.29225558613</v>
      </c>
      <c r="L78" s="55">
        <f t="shared" si="2"/>
        <v>22361.588163676377</v>
      </c>
      <c r="M78" s="56">
        <f t="shared" si="3"/>
        <v>24955.60555460144</v>
      </c>
    </row>
    <row r="79" spans="2:13" x14ac:dyDescent="0.25">
      <c r="B79" s="112">
        <v>45870</v>
      </c>
      <c r="C79" s="65">
        <v>37</v>
      </c>
      <c r="D79" s="66">
        <v>25315</v>
      </c>
      <c r="E79" s="53">
        <f t="shared" si="0"/>
        <v>4.1666666666666666E-3</v>
      </c>
      <c r="F79" s="55">
        <f t="shared" si="4"/>
        <v>21795.61363334208</v>
      </c>
      <c r="G79" s="57"/>
      <c r="H79" s="54">
        <f t="shared" si="1"/>
        <v>602342.53784299432</v>
      </c>
      <c r="I79" s="55">
        <f t="shared" si="5"/>
        <v>2499.346630053918</v>
      </c>
      <c r="K79" s="55">
        <f t="shared" si="6"/>
        <v>559039.70409190981</v>
      </c>
      <c r="L79" s="55">
        <f t="shared" si="2"/>
        <v>22361.588163676377</v>
      </c>
      <c r="M79" s="56">
        <f t="shared" si="3"/>
        <v>24860.934793730295</v>
      </c>
    </row>
    <row r="80" spans="2:13" x14ac:dyDescent="0.25">
      <c r="B80" s="112">
        <v>45901</v>
      </c>
      <c r="C80" s="65">
        <v>38</v>
      </c>
      <c r="D80" s="66">
        <v>25315</v>
      </c>
      <c r="E80" s="53">
        <f t="shared" si="0"/>
        <v>4.1666666666666666E-3</v>
      </c>
      <c r="F80" s="55">
        <f t="shared" si="4"/>
        <v>21705.175402498338</v>
      </c>
      <c r="G80" s="57"/>
      <c r="H80" s="54">
        <f t="shared" si="1"/>
        <v>579431.81925067352</v>
      </c>
      <c r="I80" s="55">
        <f t="shared" si="5"/>
        <v>2404.2814076791428</v>
      </c>
      <c r="K80" s="55">
        <f t="shared" si="6"/>
        <v>536678.11592823348</v>
      </c>
      <c r="L80" s="55">
        <f t="shared" si="2"/>
        <v>22361.588163676377</v>
      </c>
      <c r="M80" s="56">
        <f t="shared" si="3"/>
        <v>24765.869571355521</v>
      </c>
    </row>
    <row r="81" spans="2:13" x14ac:dyDescent="0.25">
      <c r="B81" s="112">
        <v>45931</v>
      </c>
      <c r="C81" s="65">
        <v>39</v>
      </c>
      <c r="D81" s="66">
        <v>25315</v>
      </c>
      <c r="E81" s="50">
        <f t="shared" si="0"/>
        <v>4.1666666666666666E-3</v>
      </c>
      <c r="F81" s="55">
        <f t="shared" si="4"/>
        <v>21615.112434023238</v>
      </c>
      <c r="G81" s="57"/>
      <c r="H81" s="54">
        <f t="shared" si="1"/>
        <v>556425.63933088467</v>
      </c>
      <c r="I81" s="55">
        <f t="shared" si="5"/>
        <v>2308.8200802111396</v>
      </c>
      <c r="K81" s="55">
        <f t="shared" si="6"/>
        <v>514316.5277645571</v>
      </c>
      <c r="L81" s="55">
        <f t="shared" si="2"/>
        <v>22361.588163676377</v>
      </c>
      <c r="M81" s="56">
        <f t="shared" si="3"/>
        <v>24670.408243887516</v>
      </c>
    </row>
    <row r="82" spans="2:13" x14ac:dyDescent="0.25">
      <c r="B82" s="112">
        <v>45962</v>
      </c>
      <c r="C82" s="65">
        <v>40</v>
      </c>
      <c r="D82" s="66">
        <v>25315</v>
      </c>
      <c r="E82" s="50">
        <f t="shared" si="0"/>
        <v>4.1666666666666666E-3</v>
      </c>
      <c r="F82" s="55">
        <f t="shared" si="4"/>
        <v>21525.423170811522</v>
      </c>
      <c r="G82" s="57"/>
      <c r="H82" s="54">
        <f t="shared" si="1"/>
        <v>533323.60032809665</v>
      </c>
      <c r="I82" s="55">
        <f t="shared" si="5"/>
        <v>2212.9609972120193</v>
      </c>
      <c r="K82" s="55">
        <f t="shared" si="6"/>
        <v>491954.93960088072</v>
      </c>
      <c r="L82" s="55">
        <f t="shared" si="2"/>
        <v>22361.588163676377</v>
      </c>
      <c r="M82" s="56">
        <f t="shared" si="3"/>
        <v>24574.549160888397</v>
      </c>
    </row>
    <row r="83" spans="2:13" x14ac:dyDescent="0.25">
      <c r="B83" s="112">
        <v>45992</v>
      </c>
      <c r="C83" s="65">
        <v>41</v>
      </c>
      <c r="D83" s="66">
        <v>25315</v>
      </c>
      <c r="E83" s="53">
        <f t="shared" si="0"/>
        <v>4.1666666666666666E-3</v>
      </c>
      <c r="F83" s="55">
        <f t="shared" si="4"/>
        <v>21436.106062218943</v>
      </c>
      <c r="G83" s="57"/>
      <c r="H83" s="54">
        <f t="shared" si="1"/>
        <v>510125.30282946373</v>
      </c>
      <c r="I83" s="55">
        <f t="shared" si="5"/>
        <v>2116.7025013670695</v>
      </c>
      <c r="K83" s="55">
        <f t="shared" si="6"/>
        <v>469593.35143720434</v>
      </c>
      <c r="L83" s="55">
        <f t="shared" si="2"/>
        <v>22361.588163676377</v>
      </c>
      <c r="M83" s="56">
        <f t="shared" si="3"/>
        <v>24478.290665043445</v>
      </c>
    </row>
    <row r="84" spans="2:13" x14ac:dyDescent="0.25">
      <c r="B84" s="112">
        <v>46023</v>
      </c>
      <c r="C84" s="65">
        <v>42</v>
      </c>
      <c r="D84" s="66">
        <v>25315</v>
      </c>
      <c r="E84" s="53">
        <f t="shared" si="0"/>
        <v>4.1666666666666666E-3</v>
      </c>
      <c r="F84" s="55">
        <f t="shared" si="4"/>
        <v>21347.159564035464</v>
      </c>
      <c r="G84" s="57"/>
      <c r="H84" s="54">
        <f t="shared" si="1"/>
        <v>486830.34575791983</v>
      </c>
      <c r="I84" s="55">
        <f t="shared" si="5"/>
        <v>2020.0429284560989</v>
      </c>
      <c r="K84" s="55">
        <f t="shared" si="6"/>
        <v>447231.76327352796</v>
      </c>
      <c r="L84" s="55">
        <f t="shared" si="2"/>
        <v>22361.588163676377</v>
      </c>
      <c r="M84" s="56">
        <f t="shared" si="3"/>
        <v>24381.631092132477</v>
      </c>
    </row>
    <row r="85" spans="2:13" x14ac:dyDescent="0.25">
      <c r="B85" s="112">
        <v>46054</v>
      </c>
      <c r="C85" s="65">
        <v>43</v>
      </c>
      <c r="D85" s="66">
        <v>25315</v>
      </c>
      <c r="E85" s="53">
        <f t="shared" si="0"/>
        <v>4.1666666666666666E-3</v>
      </c>
      <c r="F85" s="55">
        <f t="shared" si="4"/>
        <v>21258.582138458547</v>
      </c>
      <c r="G85" s="57"/>
      <c r="H85" s="54">
        <f t="shared" si="1"/>
        <v>463438.32636524452</v>
      </c>
      <c r="I85" s="55">
        <f t="shared" si="5"/>
        <v>1922.9806073246659</v>
      </c>
      <c r="K85" s="55">
        <f t="shared" si="6"/>
        <v>424870.17510985158</v>
      </c>
      <c r="L85" s="55">
        <f t="shared" si="2"/>
        <v>22361.588163676377</v>
      </c>
      <c r="M85" s="56">
        <f t="shared" si="3"/>
        <v>24284.568771001042</v>
      </c>
    </row>
    <row r="86" spans="2:13" x14ac:dyDescent="0.25">
      <c r="B86" s="112">
        <v>46082</v>
      </c>
      <c r="C86" s="65">
        <v>44</v>
      </c>
      <c r="D86" s="66">
        <v>25315</v>
      </c>
      <c r="E86" s="53">
        <f t="shared" si="0"/>
        <v>4.1666666666666666E-3</v>
      </c>
      <c r="F86" s="55">
        <f t="shared" si="4"/>
        <v>21170.372254066609</v>
      </c>
      <c r="G86" s="57"/>
      <c r="H86" s="54">
        <f t="shared" si="1"/>
        <v>439948.8402250997</v>
      </c>
      <c r="I86" s="55">
        <f t="shared" si="5"/>
        <v>1825.5138598551855</v>
      </c>
      <c r="K86" s="55">
        <f t="shared" si="6"/>
        <v>402508.5869461752</v>
      </c>
      <c r="L86" s="55">
        <f t="shared" si="2"/>
        <v>22361.588163676377</v>
      </c>
      <c r="M86" s="56">
        <f t="shared" si="3"/>
        <v>24187.102023531563</v>
      </c>
    </row>
    <row r="87" spans="2:13" x14ac:dyDescent="0.25">
      <c r="B87" s="112">
        <v>46113</v>
      </c>
      <c r="C87" s="65">
        <v>45</v>
      </c>
      <c r="D87" s="66">
        <v>25315</v>
      </c>
      <c r="E87" s="53">
        <f t="shared" si="0"/>
        <v>4.1666666666666666E-3</v>
      </c>
      <c r="F87" s="55">
        <f t="shared" si="4"/>
        <v>21082.52838579247</v>
      </c>
      <c r="G87" s="57"/>
      <c r="H87" s="54">
        <f t="shared" si="1"/>
        <v>416361.48122603761</v>
      </c>
      <c r="I87" s="55">
        <f t="shared" si="5"/>
        <v>1727.6410009379154</v>
      </c>
      <c r="K87" s="55">
        <f t="shared" si="6"/>
        <v>380146.99878249882</v>
      </c>
      <c r="L87" s="55">
        <f t="shared" si="2"/>
        <v>22361.588163676377</v>
      </c>
      <c r="M87" s="56">
        <f t="shared" si="3"/>
        <v>24089.229164614291</v>
      </c>
    </row>
    <row r="88" spans="2:13" x14ac:dyDescent="0.25">
      <c r="B88" s="112">
        <v>46143</v>
      </c>
      <c r="C88" s="65">
        <v>46</v>
      </c>
      <c r="D88" s="66">
        <v>25315</v>
      </c>
      <c r="E88" s="53">
        <f t="shared" si="0"/>
        <v>4.1666666666666666E-3</v>
      </c>
      <c r="F88" s="55">
        <f t="shared" si="4"/>
        <v>20995.049014897071</v>
      </c>
      <c r="G88" s="57"/>
      <c r="H88" s="54">
        <f t="shared" si="1"/>
        <v>392675.8415644794</v>
      </c>
      <c r="I88" s="55">
        <f t="shared" si="5"/>
        <v>1629.3603384418234</v>
      </c>
      <c r="K88" s="55">
        <f t="shared" si="6"/>
        <v>357785.41061882244</v>
      </c>
      <c r="L88" s="55">
        <f t="shared" si="2"/>
        <v>22361.588163676377</v>
      </c>
      <c r="M88" s="56">
        <f t="shared" si="3"/>
        <v>23990.948502118201</v>
      </c>
    </row>
    <row r="89" spans="2:13" x14ac:dyDescent="0.25">
      <c r="B89" s="112">
        <v>46174</v>
      </c>
      <c r="C89" s="65">
        <v>47</v>
      </c>
      <c r="D89" s="66">
        <v>25315</v>
      </c>
      <c r="E89" s="53">
        <f t="shared" si="0"/>
        <v>4.1666666666666666E-3</v>
      </c>
      <c r="F89" s="55">
        <f t="shared" si="4"/>
        <v>20907.932628943137</v>
      </c>
      <c r="G89" s="57"/>
      <c r="H89" s="54">
        <f t="shared" si="1"/>
        <v>368891.51173766475</v>
      </c>
      <c r="I89" s="55">
        <f t="shared" si="5"/>
        <v>1530.6701731853309</v>
      </c>
      <c r="K89" s="55">
        <f t="shared" si="6"/>
        <v>335423.82245514606</v>
      </c>
      <c r="L89" s="55">
        <f t="shared" si="2"/>
        <v>22361.588163676377</v>
      </c>
      <c r="M89" s="56">
        <f t="shared" si="3"/>
        <v>23892.258336861709</v>
      </c>
    </row>
    <row r="90" spans="2:13" x14ac:dyDescent="0.25">
      <c r="B90" s="112">
        <v>46204</v>
      </c>
      <c r="C90" s="65">
        <v>48</v>
      </c>
      <c r="D90" s="66">
        <v>25315</v>
      </c>
      <c r="E90" s="53">
        <f t="shared" si="0"/>
        <v>4.1666666666666666E-3</v>
      </c>
      <c r="F90" s="55">
        <f t="shared" si="4"/>
        <v>20821.177721769094</v>
      </c>
      <c r="G90" s="57"/>
      <c r="H90" s="54">
        <f t="shared" si="1"/>
        <v>345008.08053657168</v>
      </c>
      <c r="I90" s="55">
        <f t="shared" si="5"/>
        <v>1431.5687989069365</v>
      </c>
      <c r="K90" s="55">
        <f t="shared" si="6"/>
        <v>313062.23429146968</v>
      </c>
      <c r="L90" s="55">
        <f t="shared" si="2"/>
        <v>22361.588163676377</v>
      </c>
      <c r="M90" s="56">
        <f t="shared" si="3"/>
        <v>23793.156962583314</v>
      </c>
    </row>
    <row r="91" spans="2:13" x14ac:dyDescent="0.25">
      <c r="B91" s="112">
        <v>46235</v>
      </c>
      <c r="C91" s="65">
        <v>49</v>
      </c>
      <c r="D91" s="66">
        <v>25315</v>
      </c>
      <c r="E91" s="50">
        <f t="shared" si="0"/>
        <v>4.1666666666666666E-3</v>
      </c>
      <c r="F91" s="55">
        <f t="shared" si="4"/>
        <v>20734.782793463</v>
      </c>
      <c r="G91" s="57"/>
      <c r="H91" s="54">
        <f t="shared" si="1"/>
        <v>321025.13503880741</v>
      </c>
      <c r="I91" s="55">
        <f t="shared" si="5"/>
        <v>1332.0545022357153</v>
      </c>
      <c r="K91" s="55">
        <f t="shared" si="6"/>
        <v>290700.6461277933</v>
      </c>
      <c r="L91" s="55">
        <f t="shared" si="2"/>
        <v>22361.588163676377</v>
      </c>
      <c r="M91" s="56">
        <f t="shared" si="3"/>
        <v>23693.642665912092</v>
      </c>
    </row>
    <row r="92" spans="2:13" x14ac:dyDescent="0.25">
      <c r="B92" s="112">
        <v>46266</v>
      </c>
      <c r="C92" s="65">
        <v>50</v>
      </c>
      <c r="D92" s="66">
        <v>25315</v>
      </c>
      <c r="E92" s="50">
        <f t="shared" si="0"/>
        <v>4.1666666666666666E-3</v>
      </c>
      <c r="F92" s="55">
        <f t="shared" si="4"/>
        <v>20648.746350336598</v>
      </c>
      <c r="G92" s="57"/>
      <c r="H92" s="54">
        <f t="shared" si="1"/>
        <v>296942.26060146908</v>
      </c>
      <c r="I92" s="55">
        <f t="shared" si="5"/>
        <v>1232.1255626616976</v>
      </c>
      <c r="K92" s="55">
        <f t="shared" si="6"/>
        <v>268339.05796411692</v>
      </c>
      <c r="L92" s="55">
        <f t="shared" si="2"/>
        <v>22361.588163676377</v>
      </c>
      <c r="M92" s="56">
        <f t="shared" si="3"/>
        <v>23593.713726338076</v>
      </c>
    </row>
    <row r="93" spans="2:13" x14ac:dyDescent="0.25">
      <c r="B93" s="112">
        <v>46296</v>
      </c>
      <c r="C93" s="65">
        <v>51</v>
      </c>
      <c r="D93" s="66">
        <v>25315</v>
      </c>
      <c r="E93" s="53">
        <f t="shared" si="0"/>
        <v>4.1666666666666666E-3</v>
      </c>
      <c r="F93" s="55">
        <f t="shared" si="4"/>
        <v>20563.066904899519</v>
      </c>
      <c r="G93" s="57"/>
      <c r="H93" s="54">
        <f t="shared" si="1"/>
        <v>272759.04085397522</v>
      </c>
      <c r="I93" s="55">
        <f t="shared" si="5"/>
        <v>1131.7802525061211</v>
      </c>
      <c r="K93" s="55">
        <f t="shared" si="6"/>
        <v>245977.46980044054</v>
      </c>
      <c r="L93" s="55">
        <f t="shared" si="2"/>
        <v>22361.588163676377</v>
      </c>
      <c r="M93" s="56">
        <f t="shared" si="3"/>
        <v>23493.368416182497</v>
      </c>
    </row>
    <row r="94" spans="2:13" x14ac:dyDescent="0.25">
      <c r="B94" s="112">
        <v>46327</v>
      </c>
      <c r="C94" s="65">
        <v>52</v>
      </c>
      <c r="D94" s="66">
        <v>25315</v>
      </c>
      <c r="E94" s="53">
        <f t="shared" si="0"/>
        <v>4.1666666666666666E-3</v>
      </c>
      <c r="F94" s="55">
        <f t="shared" si="4"/>
        <v>20477.742975833546</v>
      </c>
      <c r="G94" s="57"/>
      <c r="H94" s="54">
        <f t="shared" si="1"/>
        <v>248475.05769086682</v>
      </c>
      <c r="I94" s="55">
        <f t="shared" si="5"/>
        <v>1031.0168368915633</v>
      </c>
      <c r="K94" s="55">
        <f t="shared" si="6"/>
        <v>223615.88163676416</v>
      </c>
      <c r="L94" s="55">
        <f t="shared" si="2"/>
        <v>22361.588163676377</v>
      </c>
      <c r="M94" s="56">
        <f t="shared" si="3"/>
        <v>23392.605000567939</v>
      </c>
    </row>
    <row r="95" spans="2:13" x14ac:dyDescent="0.25">
      <c r="B95" s="112">
        <v>46357</v>
      </c>
      <c r="C95" s="65">
        <v>53</v>
      </c>
      <c r="D95" s="66">
        <v>25315</v>
      </c>
      <c r="E95" s="53">
        <f t="shared" si="0"/>
        <v>4.1666666666666666E-3</v>
      </c>
      <c r="F95" s="55">
        <f t="shared" si="4"/>
        <v>20392.773087967013</v>
      </c>
      <c r="G95" s="57"/>
      <c r="H95" s="54">
        <f t="shared" si="1"/>
        <v>224089.89126457876</v>
      </c>
      <c r="I95" s="55">
        <f t="shared" si="5"/>
        <v>929.83357371194506</v>
      </c>
      <c r="K95" s="55">
        <f t="shared" si="6"/>
        <v>201254.29347308778</v>
      </c>
      <c r="L95" s="55">
        <f t="shared" si="2"/>
        <v>22361.588163676377</v>
      </c>
      <c r="M95" s="56">
        <f t="shared" si="3"/>
        <v>23291.421737388322</v>
      </c>
    </row>
    <row r="96" spans="2:13" x14ac:dyDescent="0.25">
      <c r="B96" s="112">
        <v>46388</v>
      </c>
      <c r="C96" s="65">
        <v>54</v>
      </c>
      <c r="D96" s="66">
        <v>25315</v>
      </c>
      <c r="E96" s="53">
        <f t="shared" si="0"/>
        <v>4.1666666666666666E-3</v>
      </c>
      <c r="F96" s="55">
        <f t="shared" si="4"/>
        <v>20308.155772249309</v>
      </c>
      <c r="G96" s="57"/>
      <c r="H96" s="54">
        <f t="shared" si="1"/>
        <v>199603.11997818117</v>
      </c>
      <c r="I96" s="55">
        <f t="shared" si="5"/>
        <v>828.22871360241152</v>
      </c>
      <c r="K96" s="55">
        <f t="shared" si="6"/>
        <v>178892.70530941139</v>
      </c>
      <c r="L96" s="55">
        <f t="shared" si="2"/>
        <v>22361.588163676377</v>
      </c>
      <c r="M96" s="56">
        <f t="shared" si="3"/>
        <v>23189.81687727879</v>
      </c>
    </row>
    <row r="97" spans="2:13" x14ac:dyDescent="0.25">
      <c r="B97" s="112">
        <v>46419</v>
      </c>
      <c r="C97" s="65">
        <v>55</v>
      </c>
      <c r="D97" s="66">
        <v>25315</v>
      </c>
      <c r="E97" s="53">
        <f t="shared" si="0"/>
        <v>4.1666666666666666E-3</v>
      </c>
      <c r="F97" s="55">
        <f t="shared" si="4"/>
        <v>20223.889565725451</v>
      </c>
      <c r="G97" s="57"/>
      <c r="H97" s="54">
        <f t="shared" si="1"/>
        <v>175014.32047809026</v>
      </c>
      <c r="I97" s="55">
        <f t="shared" si="5"/>
        <v>726.20049990908819</v>
      </c>
      <c r="K97" s="55">
        <f t="shared" si="6"/>
        <v>156531.11714573501</v>
      </c>
      <c r="L97" s="55">
        <f t="shared" si="2"/>
        <v>22361.588163676377</v>
      </c>
      <c r="M97" s="56">
        <f t="shared" si="3"/>
        <v>23087.788663585467</v>
      </c>
    </row>
    <row r="98" spans="2:13" x14ac:dyDescent="0.25">
      <c r="B98" s="112">
        <v>46447</v>
      </c>
      <c r="C98" s="65">
        <v>56</v>
      </c>
      <c r="D98" s="66">
        <v>25315</v>
      </c>
      <c r="E98" s="53">
        <f t="shared" si="0"/>
        <v>4.1666666666666666E-3</v>
      </c>
      <c r="F98" s="55">
        <f t="shared" si="4"/>
        <v>20139.973011510818</v>
      </c>
      <c r="G98" s="57"/>
      <c r="H98" s="54">
        <f t="shared" si="1"/>
        <v>150323.06764674897</v>
      </c>
      <c r="I98" s="55">
        <f t="shared" si="5"/>
        <v>623.74716865870937</v>
      </c>
      <c r="K98" s="55">
        <f t="shared" si="6"/>
        <v>134169.52898205863</v>
      </c>
      <c r="L98" s="55">
        <f t="shared" si="2"/>
        <v>22361.588163676377</v>
      </c>
      <c r="M98" s="56">
        <f t="shared" si="3"/>
        <v>22985.335332335086</v>
      </c>
    </row>
    <row r="99" spans="2:13" x14ac:dyDescent="0.25">
      <c r="B99" s="112">
        <v>46478</v>
      </c>
      <c r="C99" s="65">
        <v>57</v>
      </c>
      <c r="D99" s="66">
        <v>25315</v>
      </c>
      <c r="E99" s="53">
        <f t="shared" si="0"/>
        <v>4.1666666666666666E-3</v>
      </c>
      <c r="F99" s="55">
        <f>D99/(1+E99)^(C99-1)</f>
        <v>20056.404658765965</v>
      </c>
      <c r="G99" s="57"/>
      <c r="H99" s="54">
        <f t="shared" si="1"/>
        <v>125528.9345952771</v>
      </c>
      <c r="I99" s="55">
        <f t="shared" si="5"/>
        <v>520.8669485281207</v>
      </c>
      <c r="K99" s="55">
        <f t="shared" si="6"/>
        <v>111807.94081838225</v>
      </c>
      <c r="L99" s="55">
        <f t="shared" si="2"/>
        <v>22361.588163676377</v>
      </c>
      <c r="M99" s="56">
        <f t="shared" si="3"/>
        <v>22882.455112204498</v>
      </c>
    </row>
    <row r="100" spans="2:13" x14ac:dyDescent="0.25">
      <c r="B100" s="112">
        <v>46508</v>
      </c>
      <c r="C100" s="65">
        <v>58</v>
      </c>
      <c r="D100" s="66">
        <v>25315</v>
      </c>
      <c r="E100" s="53">
        <f t="shared" si="0"/>
        <v>4.1666666666666666E-3</v>
      </c>
      <c r="F100" s="55">
        <f t="shared" si="4"/>
        <v>19973.183062671502</v>
      </c>
      <c r="G100" s="57"/>
      <c r="H100" s="54">
        <f t="shared" si="1"/>
        <v>100631.49265609075</v>
      </c>
      <c r="I100" s="55">
        <f t="shared" si="5"/>
        <v>417.55806081365455</v>
      </c>
      <c r="K100" s="55">
        <f t="shared" si="6"/>
        <v>89446.352654705872</v>
      </c>
      <c r="L100" s="55">
        <f t="shared" si="2"/>
        <v>22361.588163676377</v>
      </c>
      <c r="M100" s="56">
        <f t="shared" si="3"/>
        <v>22779.146224490032</v>
      </c>
    </row>
    <row r="101" spans="2:13" x14ac:dyDescent="0.25">
      <c r="B101" s="112">
        <v>46539</v>
      </c>
      <c r="C101" s="65">
        <v>59</v>
      </c>
      <c r="D101" s="66">
        <v>25315</v>
      </c>
      <c r="E101" s="50">
        <f t="shared" si="0"/>
        <v>4.1666666666666666E-3</v>
      </c>
      <c r="F101" s="55">
        <f t="shared" si="4"/>
        <v>19890.30678440315</v>
      </c>
      <c r="G101" s="57"/>
      <c r="H101" s="54">
        <f t="shared" si="1"/>
        <v>75630.311375491132</v>
      </c>
      <c r="I101" s="55">
        <f t="shared" si="5"/>
        <v>313.81871940037809</v>
      </c>
      <c r="K101" s="55">
        <f t="shared" si="6"/>
        <v>67084.764491029491</v>
      </c>
      <c r="L101" s="55">
        <f t="shared" si="2"/>
        <v>22361.588163676377</v>
      </c>
      <c r="M101" s="56">
        <f t="shared" si="3"/>
        <v>22675.406883076754</v>
      </c>
    </row>
    <row r="102" spans="2:13" x14ac:dyDescent="0.25">
      <c r="B102" s="112">
        <v>46569</v>
      </c>
      <c r="C102" s="65">
        <v>60</v>
      </c>
      <c r="D102" s="66">
        <v>25315</v>
      </c>
      <c r="E102" s="50">
        <f t="shared" si="0"/>
        <v>4.1666666666666666E-3</v>
      </c>
      <c r="F102" s="55">
        <f t="shared" si="4"/>
        <v>19807.774391106876</v>
      </c>
      <c r="G102" s="57"/>
      <c r="H102" s="54">
        <f t="shared" si="1"/>
        <v>50524.958506222349</v>
      </c>
      <c r="I102" s="55">
        <f t="shared" si="5"/>
        <v>209.64713073121305</v>
      </c>
      <c r="K102" s="55">
        <f t="shared" si="6"/>
        <v>44723.176327353111</v>
      </c>
      <c r="L102" s="55">
        <f t="shared" si="2"/>
        <v>22361.588163676377</v>
      </c>
      <c r="M102" s="56">
        <f t="shared" si="3"/>
        <v>22571.23529440759</v>
      </c>
    </row>
    <row r="103" spans="2:13" x14ac:dyDescent="0.25">
      <c r="B103" s="112">
        <v>46600</v>
      </c>
      <c r="C103" s="65">
        <v>61</v>
      </c>
      <c r="D103" s="66">
        <v>25315</v>
      </c>
      <c r="E103" s="53">
        <f t="shared" si="0"/>
        <v>4.1666666666666666E-3</v>
      </c>
      <c r="F103" s="55">
        <f t="shared" si="4"/>
        <v>19725.584455874068</v>
      </c>
      <c r="G103" s="57"/>
      <c r="H103" s="54">
        <f t="shared" si="1"/>
        <v>25314.999999998276</v>
      </c>
      <c r="I103" s="55">
        <f t="shared" si="5"/>
        <v>105.04149377592645</v>
      </c>
      <c r="K103" s="55">
        <f t="shared" si="6"/>
        <v>22361.588163676734</v>
      </c>
      <c r="L103" s="55">
        <f t="shared" si="2"/>
        <v>22361.588163676377</v>
      </c>
      <c r="M103" s="56">
        <f t="shared" si="3"/>
        <v>22466.629657452304</v>
      </c>
    </row>
    <row r="104" spans="2:13" x14ac:dyDescent="0.25">
      <c r="B104" s="112">
        <v>46631</v>
      </c>
      <c r="C104" s="65">
        <v>62</v>
      </c>
      <c r="D104" s="66">
        <v>25315</v>
      </c>
      <c r="E104" s="53">
        <f t="shared" si="0"/>
        <v>4.1666666666666666E-3</v>
      </c>
      <c r="F104" s="55">
        <f t="shared" si="4"/>
        <v>19643.735557716915</v>
      </c>
      <c r="G104" s="57"/>
      <c r="H104" s="54">
        <f t="shared" si="1"/>
        <v>-1.7316779121756554E-9</v>
      </c>
      <c r="I104" s="55">
        <f t="shared" si="5"/>
        <v>-7.1850081440061326E-12</v>
      </c>
      <c r="K104" s="55">
        <f t="shared" si="6"/>
        <v>3.5652192309498787E-10</v>
      </c>
      <c r="L104" s="55">
        <f t="shared" si="2"/>
        <v>22361.588163676377</v>
      </c>
      <c r="M104" s="56">
        <f>I104+L104</f>
        <v>22361.58816367637</v>
      </c>
    </row>
    <row r="105" spans="2:13" ht="15.75" thickBot="1" x14ac:dyDescent="0.3">
      <c r="B105" s="58"/>
      <c r="C105" s="59"/>
      <c r="D105" s="96">
        <f>SUM(D43:D104)</f>
        <v>1569530</v>
      </c>
      <c r="E105" s="96"/>
      <c r="F105" s="96">
        <f>SUM(F43:F104)</f>
        <v>1386418.4661479355</v>
      </c>
      <c r="G105" s="96">
        <f>SUM(G61:G63)</f>
        <v>0</v>
      </c>
      <c r="H105" s="62"/>
      <c r="I105" s="96">
        <f>SUM(I43:I104)</f>
        <v>183111.53385206274</v>
      </c>
      <c r="J105" s="96"/>
      <c r="K105" s="62"/>
      <c r="L105" s="96">
        <f>SUM(L43:L104)</f>
        <v>1386418.466147935</v>
      </c>
      <c r="M105" s="128">
        <f>SUM(M43:M104)</f>
        <v>1569529.9999999974</v>
      </c>
    </row>
    <row r="107" spans="2:13" x14ac:dyDescent="0.25">
      <c r="M107" s="1">
        <f>D105-M105</f>
        <v>2.5611370801925659E-9</v>
      </c>
    </row>
    <row r="108" spans="2:13" x14ac:dyDescent="0.25">
      <c r="M108" s="106"/>
    </row>
  </sheetData>
  <pageMargins left="0.6692913385826772" right="0.51181102362204722" top="0.51181102362204722" bottom="0.19685039370078741" header="0" footer="0"/>
  <pageSetup paperSize="9" scale="99" orientation="landscape" r:id="rId1"/>
  <rowBreaks count="1" manualBreakCount="1">
    <brk id="38" max="13" man="1"/>
  </rowBreaks>
  <ignoredErrors>
    <ignoredError sqref="E1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view="pageBreakPreview" zoomScaleNormal="100" zoomScaleSheetLayoutView="100" workbookViewId="0">
      <selection activeCell="F9" sqref="F9"/>
    </sheetView>
  </sheetViews>
  <sheetFormatPr defaultRowHeight="15" x14ac:dyDescent="0.25"/>
  <cols>
    <col min="1" max="1" width="3" customWidth="1"/>
    <col min="2" max="2" width="42.140625" customWidth="1"/>
    <col min="3" max="4" width="11.5703125" bestFit="1" customWidth="1"/>
    <col min="6" max="6" width="33.42578125" customWidth="1"/>
    <col min="7" max="8" width="11.42578125" customWidth="1"/>
  </cols>
  <sheetData>
    <row r="1" spans="1:8" x14ac:dyDescent="0.25">
      <c r="A1" s="73" t="s">
        <v>101</v>
      </c>
    </row>
    <row r="3" spans="1:8" x14ac:dyDescent="0.25">
      <c r="A3" t="s">
        <v>49</v>
      </c>
      <c r="B3" s="73" t="s">
        <v>8</v>
      </c>
      <c r="C3" s="74" t="s">
        <v>50</v>
      </c>
      <c r="D3" s="74" t="s">
        <v>51</v>
      </c>
      <c r="G3" s="74"/>
      <c r="H3" s="74"/>
    </row>
    <row r="5" spans="1:8" x14ac:dyDescent="0.25">
      <c r="A5">
        <v>1</v>
      </c>
      <c r="B5" t="s">
        <v>54</v>
      </c>
      <c r="C5" s="75">
        <v>57510.305513639207</v>
      </c>
      <c r="D5" s="75"/>
      <c r="G5" s="17"/>
    </row>
    <row r="6" spans="1:8" x14ac:dyDescent="0.25">
      <c r="B6" t="s">
        <v>4</v>
      </c>
      <c r="C6" s="75">
        <v>246269.69448636079</v>
      </c>
      <c r="D6" s="75"/>
      <c r="G6" s="17"/>
    </row>
    <row r="7" spans="1:8" x14ac:dyDescent="0.25">
      <c r="B7" t="s">
        <v>52</v>
      </c>
      <c r="C7" s="75"/>
      <c r="D7" s="75">
        <f>C5+C6</f>
        <v>303780</v>
      </c>
      <c r="H7" s="17"/>
    </row>
    <row r="8" spans="1:8" x14ac:dyDescent="0.25">
      <c r="B8" t="s">
        <v>53</v>
      </c>
      <c r="C8" s="75"/>
      <c r="D8" s="75"/>
      <c r="G8" s="17"/>
    </row>
    <row r="9" spans="1:8" x14ac:dyDescent="0.25">
      <c r="C9" s="75"/>
      <c r="D9" s="75"/>
      <c r="H9" s="17"/>
    </row>
    <row r="10" spans="1:8" x14ac:dyDescent="0.25">
      <c r="A10">
        <v>2</v>
      </c>
      <c r="B10" t="s">
        <v>118</v>
      </c>
      <c r="C10" s="108">
        <f>Summary!D54</f>
        <v>268339.05796411651</v>
      </c>
      <c r="D10" s="108"/>
      <c r="G10" s="17"/>
    </row>
    <row r="11" spans="1:8" x14ac:dyDescent="0.25">
      <c r="B11" t="s">
        <v>119</v>
      </c>
      <c r="C11" s="108"/>
      <c r="D11" s="108">
        <f>C10</f>
        <v>268339.05796411651</v>
      </c>
      <c r="H11" s="17"/>
    </row>
    <row r="12" spans="1:8" x14ac:dyDescent="0.25">
      <c r="B12" t="s">
        <v>120</v>
      </c>
      <c r="C12" s="76"/>
      <c r="D12" s="76"/>
      <c r="G12" s="17"/>
    </row>
    <row r="13" spans="1:8" x14ac:dyDescent="0.25">
      <c r="C13" s="75"/>
      <c r="D13" s="75"/>
    </row>
    <row r="17" spans="3:4" x14ac:dyDescent="0.25">
      <c r="C17" s="75"/>
      <c r="D17" s="75"/>
    </row>
    <row r="18" spans="3:4" x14ac:dyDescent="0.25">
      <c r="C18" s="75"/>
      <c r="D18" s="75"/>
    </row>
    <row r="19" spans="3:4" x14ac:dyDescent="0.25">
      <c r="C19" s="75"/>
      <c r="D19" s="75"/>
    </row>
    <row r="20" spans="3:4" x14ac:dyDescent="0.25">
      <c r="C20" s="75"/>
      <c r="D20" s="75"/>
    </row>
    <row r="21" spans="3:4" x14ac:dyDescent="0.25">
      <c r="C21" s="75"/>
      <c r="D21" s="7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Summary</vt:lpstr>
      <vt:lpstr>01</vt:lpstr>
      <vt:lpstr>01 (2)</vt:lpstr>
      <vt:lpstr>JE</vt:lpstr>
      <vt:lpstr>'01'!Print_Area</vt:lpstr>
      <vt:lpstr>'01 (2)'!Print_Area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suraiya</dc:creator>
  <cp:lastModifiedBy>Arshad</cp:lastModifiedBy>
  <cp:lastPrinted>2024-02-05T07:15:13Z</cp:lastPrinted>
  <dcterms:created xsi:type="dcterms:W3CDTF">2020-11-11T11:57:23Z</dcterms:created>
  <dcterms:modified xsi:type="dcterms:W3CDTF">2024-02-09T13:28:16Z</dcterms:modified>
</cp:coreProperties>
</file>