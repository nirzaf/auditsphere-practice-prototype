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D - Property, Plant and Equipments/"/>
    </mc:Choice>
  </mc:AlternateContent>
  <xr:revisionPtr revIDLastSave="59" documentId="13_ncr:1_{BE1CCC6A-6014-4CBF-A50C-4FDD099EAC82}" xr6:coauthVersionLast="47" xr6:coauthVersionMax="47" xr10:uidLastSave="{B4F83442-50CF-4899-BEF4-AE0F51C22366}"/>
  <bookViews>
    <workbookView xWindow="-110" yWindow="-110" windowWidth="19420" windowHeight="10300" xr2:uid="{00000000-000D-0000-FFFF-FFFF00000000}"/>
  </bookViews>
  <sheets>
    <sheet name="Front" sheetId="2" r:id="rId1"/>
    <sheet name="Lead" sheetId="6" r:id="rId2"/>
    <sheet name="Depreciation" sheetId="5" state="hidden" r:id="rId3"/>
    <sheet name="Dep computation" sheetId="7" state="hidden" r:id="rId4"/>
    <sheet name="Addition and Disposal" sheetId="3" r:id="rId5"/>
    <sheet name="Depreciation Cal" sheetId="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_________Tax1">#REF!</definedName>
    <definedName name="_____________________Tax1">#REF!</definedName>
    <definedName name="____________________Tax1">#REF!</definedName>
    <definedName name="___________________Tax1">#REF!</definedName>
    <definedName name="__________________Tax1">#REF!</definedName>
    <definedName name="_________________A99999">#REF!</definedName>
    <definedName name="_________________C99999">#REF!</definedName>
    <definedName name="_________________Tax1" localSheetId="1">#REF!</definedName>
    <definedName name="_________________Tax1">#REF!</definedName>
    <definedName name="________________A99999">#REF!</definedName>
    <definedName name="________________C99999">#REF!</definedName>
    <definedName name="________________Tax1" localSheetId="1">#REF!</definedName>
    <definedName name="________________Tax1">#REF!</definedName>
    <definedName name="_______________A99999">#REF!</definedName>
    <definedName name="_______________C99999">#REF!</definedName>
    <definedName name="_______________Tax1" localSheetId="1">#REF!</definedName>
    <definedName name="_______________Tax1">#REF!</definedName>
    <definedName name="______________A99999">#REF!</definedName>
    <definedName name="______________C99999">#REF!</definedName>
    <definedName name="______________Tax1">#REF!</definedName>
    <definedName name="_____________A99999">#REF!</definedName>
    <definedName name="_____________C99999">#REF!</definedName>
    <definedName name="_____________Tax1">#REF!</definedName>
    <definedName name="____________A99999">#REF!</definedName>
    <definedName name="____________C99999">#REF!</definedName>
    <definedName name="____________Tax1">#REF!</definedName>
    <definedName name="___________A99999">#REF!</definedName>
    <definedName name="___________C99999">#REF!</definedName>
    <definedName name="___________Tax1">#REF!</definedName>
    <definedName name="__________A99999">#REF!</definedName>
    <definedName name="__________C99999">#REF!</definedName>
    <definedName name="__________Tax1">#REF!</definedName>
    <definedName name="_________A99999">#REF!</definedName>
    <definedName name="_________C99999">#REF!</definedName>
    <definedName name="_________Tax1">#REF!</definedName>
    <definedName name="________A99999">#REF!</definedName>
    <definedName name="________C99999">#REF!</definedName>
    <definedName name="________Tax1">#REF!</definedName>
    <definedName name="_______A99999">#REF!</definedName>
    <definedName name="_______C99999">#REF!</definedName>
    <definedName name="_______Tax1">#REF!</definedName>
    <definedName name="______A99999">#REF!</definedName>
    <definedName name="______C99999">#REF!</definedName>
    <definedName name="______Tax1">#REF!</definedName>
    <definedName name="_____A99999">#REF!</definedName>
    <definedName name="_____C99999">#REF!</definedName>
    <definedName name="_____Tax1">#REF!</definedName>
    <definedName name="____A99999">#REF!</definedName>
    <definedName name="____C99999">#REF!</definedName>
    <definedName name="____Tax1">#REF!</definedName>
    <definedName name="___A99999">#REF!</definedName>
    <definedName name="___C99999">#REF!</definedName>
    <definedName name="___Tax1">#REF!</definedName>
    <definedName name="__123Graph_E" hidden="1">'[1]D.Note-HO-B.Anne'!$H$28:$H$37</definedName>
    <definedName name="__123Graph_X" hidden="1">'[1]D.Note-HO-B.Anne'!$A$28:$A$34</definedName>
    <definedName name="__A99999" localSheetId="1">#REF!</definedName>
    <definedName name="__A99999">#REF!</definedName>
    <definedName name="__C99999" localSheetId="1">#REF!</definedName>
    <definedName name="__C99999">#REF!</definedName>
    <definedName name="__Tax1">#REF!</definedName>
    <definedName name="__xlnm.Print_Titles_3">([2]L1!$A:$A,[2]L1!$1:$1)</definedName>
    <definedName name="_A99999" localSheetId="1">#REF!</definedName>
    <definedName name="_A99999">#REF!</definedName>
    <definedName name="_C99999">#REF!</definedName>
    <definedName name="_Fill" hidden="1">#REF!</definedName>
    <definedName name="_Order1" hidden="1">255</definedName>
    <definedName name="_Tax1">#REF!</definedName>
    <definedName name="a">#REF!</definedName>
    <definedName name="aaaaa">#REF!</definedName>
    <definedName name="abc">#REF!</definedName>
    <definedName name="abcd">#REF!</definedName>
    <definedName name="ARA_Threshold">#REF!</definedName>
    <definedName name="ARP_Threshold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">#REF!</definedName>
    <definedName name="BG_Del" hidden="1">15</definedName>
    <definedName name="BG_Ins" hidden="1">4</definedName>
    <definedName name="BG_Mod" hidden="1">6</definedName>
    <definedName name="C.Bal_Inventory" localSheetId="1">[3]Invtry1!#REF!</definedName>
    <definedName name="C.Bal_Inventory">[3]Invtry1!#REF!</definedName>
    <definedName name="_xlnm.Database">[4]Master!$B$3</definedName>
    <definedName name="DAYS_MTD">[4]Lookup!$D$15</definedName>
    <definedName name="DAYS_TOTAL">[4]Lookup!$D$16</definedName>
    <definedName name="dddd" localSheetId="1">#REF!</definedName>
    <definedName name="dddd">#REF!</definedName>
    <definedName name="fff">#REF!</definedName>
    <definedName name="GD">#REF!</definedName>
    <definedName name="GDCUMUL">#REF!</definedName>
    <definedName name="hkjnkjjjkkj">!#REF!</definedName>
    <definedName name="kjhg" localSheetId="1">#REF!</definedName>
    <definedName name="kjhg">#REF!</definedName>
    <definedName name="lt">[5]bs!#REF!</definedName>
    <definedName name="mhbjjnkkjnjmnjlui">!#REF!</definedName>
    <definedName name="notes" localSheetId="1">#REF!</definedName>
    <definedName name="notes">#REF!</definedName>
    <definedName name="_xlnm.Print_Area" localSheetId="0">Front!$A$1:$L$42</definedName>
    <definedName name="_xlnm.Print_Area" localSheetId="1">Lead!$A$1:$F$36</definedName>
    <definedName name="_xlnm.Print_Area">[6]SERVICE!$A$2:$K$32</definedName>
    <definedName name="Print_Area_MI">#REF!</definedName>
    <definedName name="_xlnm.Print_Titles">#N/A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">#REF!</definedName>
    <definedName name="TextRefCopy1">'[7]Revenue 2014'!$B$5</definedName>
    <definedName name="TextRefCopy10">'[8]Revenue 2014'!#REF!</definedName>
    <definedName name="TextRefCopy11">'[8]Revenue 2014'!#REF!</definedName>
    <definedName name="TextRefCopy12">'[8]Revenue 2014'!#REF!</definedName>
    <definedName name="TextRefCopy13">'[8]Revenue 2014'!#REF!</definedName>
    <definedName name="TextRefCopy14">'[7]Revenue 2014'!#REF!</definedName>
    <definedName name="TextRefCopy15">'[8]Revenue 2014'!#REF!</definedName>
    <definedName name="TextRefCopy16">'[7]Revenue 2014'!#REF!</definedName>
    <definedName name="TextRefCopy17">'[7]Revenue 2014'!#REF!</definedName>
    <definedName name="TextRefCopy18">'[7]Revenue 2014'!#REF!</definedName>
    <definedName name="TextRefCopy19">'[7]Revenue 2014'!#REF!</definedName>
    <definedName name="TextRefCopy2">'[7]Revenue 2014'!$B$5</definedName>
    <definedName name="TextRefCopy20">'[8]Revenue 2014'!#REF!</definedName>
    <definedName name="TextRefCopy21">'[8]Revenue 2014'!#REF!</definedName>
    <definedName name="TextRefCopy22">'[8]Revenue 2014'!$N$8</definedName>
    <definedName name="TextRefCopy23">'[8]Revenue 2014'!$N$9</definedName>
    <definedName name="TextRefCopy24">'[8]Revenue 2014'!#REF!</definedName>
    <definedName name="TextRefCopy25">'[8]Revenue 2014'!#REF!</definedName>
    <definedName name="TextRefCopy26">'[8]Revenue 2014'!$N$10</definedName>
    <definedName name="TextRefCopy27">'[8]Revenue 2014'!#REF!</definedName>
    <definedName name="TextRefCopy28">'[8]Revenue 2014'!$N$14</definedName>
    <definedName name="TextRefCopy29">'[8]Revenue 2014'!$N$11</definedName>
    <definedName name="TextRefCopy3">'[8]Revenue 2014'!#REF!</definedName>
    <definedName name="TextRefCopy30">'[8]Revenue 2014'!#REF!</definedName>
    <definedName name="TextRefCopy31">'[8]Revenue 2014'!#REF!</definedName>
    <definedName name="TextRefCopy32">'[8]Revenue 2014'!#REF!</definedName>
    <definedName name="TextRefCopy33">'[8]Revenue 2014'!#REF!</definedName>
    <definedName name="TextRefCopy34">'[8]Revenue 2014'!#REF!</definedName>
    <definedName name="TextRefCopy35">'[8]Revenue 2014'!$N$12</definedName>
    <definedName name="TextRefCopy36">'[8]Revenue 2014'!$N$13</definedName>
    <definedName name="TextRefCopy37">'[8]Revenue 2014'!#REF!</definedName>
    <definedName name="TextRefCopy38">'[8]Revenue 2014'!#REF!</definedName>
    <definedName name="TextRefCopy39">'[8]Revenue 2014'!#REF!</definedName>
    <definedName name="TextRefCopy4">'[8]Revenue 2014'!#REF!</definedName>
    <definedName name="TextRefCopy40">'[8]Revenue 2014'!#REF!</definedName>
    <definedName name="TextRefCopy41">'[8]Revenue 2014'!#REF!</definedName>
    <definedName name="TextRefCopy42">'[8]Revenue 2014'!#REF!</definedName>
    <definedName name="TextRefCopy43">'[8]Revenue 2014'!#REF!</definedName>
    <definedName name="TextRefCopy44">'[8]Revenue 2014'!#REF!</definedName>
    <definedName name="TextRefCopy45">'[8]Revenue 2014'!#REF!</definedName>
    <definedName name="TextRefCopy5">'[8]Revenue 2014'!#REF!</definedName>
    <definedName name="TextRefCopy6">'[8]Revenue 2014'!#REF!</definedName>
    <definedName name="TextRefCopy7">'[7]Revenue 2014'!#REF!</definedName>
    <definedName name="TextRefCopy8">'[7]Revenue 2014'!#REF!</definedName>
    <definedName name="TextRefCopy9">'[8]Revenue 2014'!#REF!</definedName>
    <definedName name="TextRefCopyRangeCount" hidden="1">45</definedName>
    <definedName name="TOTALGDMER">#REF!</definedName>
    <definedName name="TOTALGDMERCUMUL">#REF!</definedName>
    <definedName name="xxx">#REF!</definedName>
    <definedName name="ش50">#REF!</definedName>
    <definedName name="써비스내역">[9]SERVICE!$A$2:$K$32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8" l="1"/>
  <c r="A2" i="8"/>
  <c r="A1" i="8"/>
  <c r="A3" i="3"/>
  <c r="A2" i="3"/>
  <c r="A1" i="3"/>
  <c r="D16" i="8"/>
  <c r="C16" i="8"/>
  <c r="E9" i="8"/>
  <c r="G9" i="8" s="1"/>
  <c r="E10" i="8"/>
  <c r="G10" i="8" s="1"/>
  <c r="E11" i="8"/>
  <c r="G11" i="8" s="1"/>
  <c r="E12" i="8"/>
  <c r="G12" i="8" s="1"/>
  <c r="E13" i="8"/>
  <c r="E15" i="8"/>
  <c r="G15" i="8" s="1"/>
  <c r="E14" i="8"/>
  <c r="G14" i="8" s="1"/>
  <c r="D20" i="8"/>
  <c r="C20" i="8"/>
  <c r="C22" i="8" l="1"/>
  <c r="H12" i="8"/>
  <c r="I12" i="8" s="1"/>
  <c r="G13" i="8"/>
  <c r="H13" i="8" s="1"/>
  <c r="I13" i="8" s="1"/>
  <c r="H11" i="8"/>
  <c r="I11" i="8" s="1"/>
  <c r="H14" i="8"/>
  <c r="I14" i="8" s="1"/>
  <c r="H10" i="8"/>
  <c r="I10" i="8" s="1"/>
  <c r="E16" i="8"/>
  <c r="H15" i="8"/>
  <c r="I15" i="8" s="1"/>
  <c r="G20" i="8"/>
  <c r="H9" i="8" l="1"/>
  <c r="G16" i="8"/>
  <c r="H20" i="8"/>
  <c r="I20" i="8"/>
  <c r="G22" i="8" l="1"/>
  <c r="H16" i="8"/>
  <c r="H22" i="8" s="1"/>
  <c r="I9" i="8"/>
  <c r="I16" i="8" s="1"/>
  <c r="I22" i="8" s="1"/>
  <c r="D22" i="6" l="1"/>
  <c r="B22" i="6"/>
  <c r="F10" i="6"/>
  <c r="D11" i="6"/>
  <c r="B11" i="6"/>
  <c r="A22" i="6"/>
  <c r="B31" i="6" l="1"/>
  <c r="I10" i="7"/>
  <c r="I11" i="7" s="1"/>
  <c r="H10" i="7"/>
  <c r="H11" i="7" s="1"/>
  <c r="G10" i="7"/>
  <c r="G11" i="7" s="1"/>
  <c r="F10" i="7"/>
  <c r="F11" i="7" s="1"/>
  <c r="F12" i="7" s="1"/>
  <c r="E10" i="7"/>
  <c r="C10" i="7"/>
  <c r="C11" i="7" s="1"/>
  <c r="J9" i="7"/>
  <c r="D6" i="7"/>
  <c r="J6" i="7" s="1"/>
  <c r="D10" i="7" l="1"/>
  <c r="J10" i="7" s="1"/>
  <c r="E11" i="7"/>
  <c r="J11" i="7" s="1"/>
  <c r="C12" i="7"/>
  <c r="G12" i="7"/>
  <c r="H12" i="7"/>
  <c r="I12" i="7"/>
  <c r="E12" i="7" l="1"/>
  <c r="J12" i="7" s="1"/>
  <c r="C20" i="5" l="1"/>
  <c r="C21" i="5" s="1"/>
  <c r="D13" i="6"/>
  <c r="C11" i="5"/>
  <c r="B11" i="5"/>
  <c r="B20" i="5"/>
  <c r="D9" i="5"/>
  <c r="F25" i="6"/>
  <c r="D24" i="6"/>
  <c r="F20" i="6"/>
  <c r="F19" i="6"/>
  <c r="F15" i="6"/>
  <c r="F8" i="6"/>
  <c r="F11" i="6" s="1"/>
  <c r="F22" i="6" l="1"/>
  <c r="B24" i="6"/>
  <c r="B27" i="6" s="1"/>
  <c r="B21" i="5"/>
  <c r="D11" i="5"/>
  <c r="D27" i="6"/>
  <c r="D16" i="6"/>
  <c r="D31" i="6"/>
  <c r="B13" i="6"/>
  <c r="F24" i="6" l="1"/>
  <c r="D21" i="5"/>
  <c r="F31" i="6"/>
  <c r="D30" i="6"/>
  <c r="F26" i="6"/>
  <c r="B16" i="6"/>
  <c r="B30" i="6" s="1"/>
  <c r="F13" i="6"/>
  <c r="F16" i="6" s="1"/>
  <c r="J14" i="2" l="1"/>
  <c r="J15" i="2" s="1"/>
  <c r="F27" i="6"/>
  <c r="F30" i="6" s="1"/>
  <c r="H14" i="2" l="1"/>
  <c r="H15" i="2" s="1"/>
</calcChain>
</file>

<file path=xl/sharedStrings.xml><?xml version="1.0" encoding="utf-8"?>
<sst xmlns="http://schemas.openxmlformats.org/spreadsheetml/2006/main" count="133" uniqueCount="99">
  <si>
    <t>Client</t>
  </si>
  <si>
    <t>:-</t>
  </si>
  <si>
    <t>Preparer</t>
  </si>
  <si>
    <t>Date</t>
  </si>
  <si>
    <t xml:space="preserve">Financial Year </t>
  </si>
  <si>
    <t>Detail Reviewer</t>
  </si>
  <si>
    <t xml:space="preserve">FSA   </t>
  </si>
  <si>
    <t>(all amounts in Qatari Riyals unless otherwise stated)</t>
  </si>
  <si>
    <t>Description</t>
  </si>
  <si>
    <t>PPE</t>
  </si>
  <si>
    <t>Work Done</t>
  </si>
  <si>
    <t xml:space="preserve">&gt;&gt; </t>
  </si>
  <si>
    <t>Checked the Opening Balance with Last Year Audited Accounts</t>
  </si>
  <si>
    <t>Check the Ledger Transactions.</t>
  </si>
  <si>
    <t>Check the during the year addition supporting documents with bank statement</t>
  </si>
  <si>
    <t>Check the PPE register and Depreciation calculation</t>
  </si>
  <si>
    <t>Audit Objectives</t>
  </si>
  <si>
    <t>&gt;&gt;</t>
  </si>
  <si>
    <t>Audit Notes</t>
  </si>
  <si>
    <t xml:space="preserve">Note </t>
  </si>
  <si>
    <t>Accounts are fairly stated.</t>
  </si>
  <si>
    <t>D</t>
  </si>
  <si>
    <t>Eng. Partner</t>
  </si>
  <si>
    <t>Gen. Reviewer</t>
  </si>
  <si>
    <t>Cost</t>
  </si>
  <si>
    <t>Additions</t>
  </si>
  <si>
    <t>Additions Breakup</t>
  </si>
  <si>
    <t>Purchase Date</t>
  </si>
  <si>
    <t>Depreciation</t>
  </si>
  <si>
    <r>
      <rPr>
        <b/>
        <sz val="36"/>
        <rFont val="Times New Roman"/>
        <family val="1"/>
      </rPr>
      <t>D</t>
    </r>
    <r>
      <rPr>
        <b/>
        <sz val="20"/>
        <rFont val="Times New Roman"/>
        <family val="1"/>
      </rPr>
      <t>3</t>
    </r>
  </si>
  <si>
    <r>
      <rPr>
        <b/>
        <sz val="36"/>
        <rFont val="Times New Roman"/>
        <family val="1"/>
      </rPr>
      <t>D</t>
    </r>
    <r>
      <rPr>
        <b/>
        <sz val="20"/>
        <rFont val="Times New Roman"/>
        <family val="1"/>
      </rPr>
      <t>2</t>
    </r>
  </si>
  <si>
    <t>Audit Findings</t>
  </si>
  <si>
    <t>Agreed with Closing Balance with Ledger</t>
  </si>
  <si>
    <t xml:space="preserve">Conclusions </t>
  </si>
  <si>
    <t>Amount (QR)</t>
  </si>
  <si>
    <r>
      <t>D</t>
    </r>
    <r>
      <rPr>
        <b/>
        <sz val="24"/>
        <color theme="1"/>
        <rFont val="Times New Roman"/>
        <family val="1"/>
      </rPr>
      <t>1</t>
    </r>
  </si>
  <si>
    <r>
      <t xml:space="preserve">To ensure the </t>
    </r>
    <r>
      <rPr>
        <b/>
        <sz val="10.5"/>
        <rFont val="Times New Roman"/>
        <family val="1"/>
      </rPr>
      <t xml:space="preserve"> valuation, existence, completeness, Rights and Obligation</t>
    </r>
    <r>
      <rPr>
        <sz val="10.5"/>
        <rFont val="Times New Roman"/>
        <family val="1"/>
      </rPr>
      <t xml:space="preserve"> of above balance.</t>
    </r>
  </si>
  <si>
    <t>Furniture and fixtures</t>
  </si>
  <si>
    <t>Motor vehicles</t>
  </si>
  <si>
    <t>Total</t>
  </si>
  <si>
    <t>PROPERTY AND EQUIPMENT</t>
  </si>
  <si>
    <t>Accumulated Depreciation</t>
  </si>
  <si>
    <t>Charge for the year</t>
  </si>
  <si>
    <t>Disposal during the year</t>
  </si>
  <si>
    <t>Carrying amounts</t>
  </si>
  <si>
    <t>Financial Year: As at 31/12/2021</t>
  </si>
  <si>
    <t>FSA: PPE</t>
  </si>
  <si>
    <t>Supporting</t>
  </si>
  <si>
    <t>Book Value as at 30/12/2020</t>
  </si>
  <si>
    <t>(*) Tax rates</t>
  </si>
  <si>
    <t>Depreciation (1)</t>
  </si>
  <si>
    <t>Dep on Addition (2)</t>
  </si>
  <si>
    <t>Total Depreciation expense (1+2)</t>
  </si>
  <si>
    <t>Client: Gulf Furniture and Services W.L.L</t>
  </si>
  <si>
    <t>MV</t>
  </si>
  <si>
    <t>As at 31/12/2022</t>
  </si>
  <si>
    <t>Disposals</t>
  </si>
  <si>
    <t>Assets Register</t>
  </si>
  <si>
    <t>MOTOR VECHILES</t>
  </si>
  <si>
    <t>CAR NO</t>
  </si>
  <si>
    <t>CENTRA  626403</t>
  </si>
  <si>
    <t>CENTRA 647017</t>
  </si>
  <si>
    <t>CENTRA 218384</t>
  </si>
  <si>
    <t>CENTRA  600711</t>
  </si>
  <si>
    <t>BMW  511214</t>
  </si>
  <si>
    <t>MERC  622505</t>
  </si>
  <si>
    <t>CENTRA 727908</t>
  </si>
  <si>
    <t>PICKUP 133376</t>
  </si>
  <si>
    <t>DOP</t>
  </si>
  <si>
    <t>COST</t>
  </si>
  <si>
    <t>DEPN TILL  DEC 2021</t>
  </si>
  <si>
    <t>WDV AS ON 31 DEC 2021</t>
  </si>
  <si>
    <t>DEP FOR YEAR 2022 (wdv*20%)</t>
  </si>
  <si>
    <t>SOLD JAN22</t>
  </si>
  <si>
    <t>WDV AS ON 31-12-2022</t>
  </si>
  <si>
    <t>PV No.</t>
  </si>
  <si>
    <t>As at 31/12/2023</t>
  </si>
  <si>
    <t>Property Plant and Equipment</t>
  </si>
  <si>
    <t>Balance as at 31 December 2023</t>
  </si>
  <si>
    <t>Balance as at 01 January 2023</t>
  </si>
  <si>
    <t>During the Year Deptn</t>
  </si>
  <si>
    <t>Acc.Deptn as at 31/12/2022</t>
  </si>
  <si>
    <t>W.D.V as at 31/12/2022</t>
  </si>
  <si>
    <t>Acc.Deptn as at 31/12/2023</t>
  </si>
  <si>
    <t>W.D.V as at 31/12/2023</t>
  </si>
  <si>
    <t>Vehicles</t>
  </si>
  <si>
    <t>Furniture and Fittings</t>
  </si>
  <si>
    <t>Check the Vehicle Isthimara</t>
  </si>
  <si>
    <t>-</t>
  </si>
  <si>
    <t>Yes</t>
  </si>
  <si>
    <t>Furniture and fittings</t>
  </si>
  <si>
    <t>BS Date</t>
  </si>
  <si>
    <t>Dep. Rate</t>
  </si>
  <si>
    <t>Motor Vehicles</t>
  </si>
  <si>
    <t>As at 31/12/2024</t>
  </si>
  <si>
    <t>Financial Year: As at 31/12/2024</t>
  </si>
  <si>
    <t xml:space="preserve">Client: </t>
  </si>
  <si>
    <t>Balance as at 01 January 2024</t>
  </si>
  <si>
    <t>Balance as at 31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</si>
</sst>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dd/mm/yyyy;@"/>
    <numFmt numFmtId="165" formatCode="#,##0\ ;&quot; (&quot;#,##0\);&quot; -&quot;#\ ;@\ "/>
    <numFmt numFmtId="166" formatCode="_(* #,##0_);_(* \(#,##0\);_(* &quot;-&quot;??_);_(@_)"/>
    <numFmt numFmtId="167" formatCode="0_);\(0\)"/>
    <numFmt numFmtId="168" formatCode="_-* #,##0.00_-;\-* #,##0.00_-;_-* &quot;-&quot;??_-;_-@_-"/>
    <numFmt numFmtId="169" formatCode="_-* #,##0_-;\-* #,##0_-;_-* &quot;-&quot;??_-;_-@_-"/>
    <numFmt numFmtId="170" formatCode="dd\-mmm\-yyyy"/>
    <numFmt numFmtId="171" formatCode="dd\.mm\.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48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b/>
      <sz val="10.5"/>
      <color theme="1"/>
      <name val="Times New Roman"/>
      <family val="1"/>
    </font>
    <font>
      <sz val="10.5"/>
      <color indexed="8"/>
      <name val="Times New Roman"/>
      <family val="1"/>
    </font>
    <font>
      <b/>
      <i/>
      <sz val="10.5"/>
      <name val="Times New Roman"/>
      <family val="1"/>
    </font>
    <font>
      <b/>
      <sz val="10.5"/>
      <color theme="0"/>
      <name val="Times New Roman"/>
      <family val="1"/>
    </font>
    <font>
      <b/>
      <sz val="10.5"/>
      <color rgb="FFFF0000"/>
      <name val="Times New Roman"/>
      <family val="1"/>
    </font>
    <font>
      <i/>
      <sz val="10.5"/>
      <color rgb="FFFF0000"/>
      <name val="Times New Roman"/>
      <family val="1"/>
    </font>
    <font>
      <b/>
      <u/>
      <sz val="10.5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Times New Roman"/>
      <family val="1"/>
    </font>
    <font>
      <b/>
      <sz val="20"/>
      <name val="Times New Roman"/>
      <family val="1"/>
    </font>
    <font>
      <b/>
      <sz val="28"/>
      <name val="Times New Roman"/>
      <family val="1"/>
    </font>
    <font>
      <b/>
      <sz val="36"/>
      <name val="Times New Roman"/>
      <family val="1"/>
    </font>
    <font>
      <b/>
      <sz val="36"/>
      <color theme="1"/>
      <name val="Times New Roman"/>
      <family val="1"/>
    </font>
    <font>
      <b/>
      <sz val="24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top"/>
    </xf>
    <xf numFmtId="0" fontId="1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5" fillId="0" borderId="0"/>
    <xf numFmtId="168" fontId="25" fillId="0" borderId="0" applyFont="0" applyFill="0" applyBorder="0" applyAlignment="0" applyProtection="0"/>
  </cellStyleXfs>
  <cellXfs count="183">
    <xf numFmtId="0" fontId="0" fillId="0" borderId="0" xfId="0"/>
    <xf numFmtId="0" fontId="4" fillId="0" borderId="0" xfId="0" applyFont="1"/>
    <xf numFmtId="0" fontId="7" fillId="2" borderId="0" xfId="2" applyNumberFormat="1" applyFont="1" applyFill="1" applyBorder="1" applyAlignment="1">
      <alignment horizontal="left" indent="9"/>
    </xf>
    <xf numFmtId="0" fontId="8" fillId="2" borderId="0" xfId="3" applyFont="1" applyFill="1" applyAlignment="1"/>
    <xf numFmtId="0" fontId="8" fillId="2" borderId="0" xfId="3" applyFont="1" applyFill="1" applyAlignment="1">
      <alignment horizontal="center"/>
    </xf>
    <xf numFmtId="0" fontId="8" fillId="0" borderId="0" xfId="3" applyFont="1" applyAlignment="1"/>
    <xf numFmtId="0" fontId="8" fillId="2" borderId="0" xfId="3" applyFont="1" applyFill="1" applyAlignment="1">
      <alignment vertical="center"/>
    </xf>
    <xf numFmtId="0" fontId="9" fillId="2" borderId="0" xfId="0" applyFont="1" applyFill="1"/>
    <xf numFmtId="0" fontId="10" fillId="2" borderId="1" xfId="4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10" fillId="2" borderId="1" xfId="4" applyFont="1" applyFill="1" applyBorder="1" applyAlignment="1">
      <alignment horizontal="center" vertical="center"/>
    </xf>
    <xf numFmtId="14" fontId="8" fillId="2" borderId="1" xfId="5" quotePrefix="1" applyNumberFormat="1" applyFont="1" applyFill="1" applyBorder="1" applyAlignment="1">
      <alignment horizontal="left" vertical="center"/>
    </xf>
    <xf numFmtId="0" fontId="8" fillId="2" borderId="0" xfId="3" applyFont="1" applyFill="1" applyAlignment="1">
      <alignment horizontal="left"/>
    </xf>
    <xf numFmtId="0" fontId="8" fillId="2" borderId="1" xfId="5" applyFont="1" applyFill="1" applyBorder="1"/>
    <xf numFmtId="0" fontId="8" fillId="2" borderId="1" xfId="3" applyFont="1" applyFill="1" applyBorder="1" applyAlignment="1"/>
    <xf numFmtId="0" fontId="10" fillId="2" borderId="1" xfId="4" applyFont="1" applyFill="1" applyBorder="1" applyAlignment="1">
      <alignment horizontal="center"/>
    </xf>
    <xf numFmtId="14" fontId="8" fillId="2" borderId="1" xfId="5" quotePrefix="1" applyNumberFormat="1" applyFont="1" applyFill="1" applyBorder="1" applyAlignment="1">
      <alignment horizontal="center"/>
    </xf>
    <xf numFmtId="0" fontId="8" fillId="2" borderId="0" xfId="6" applyFont="1" applyFill="1" applyAlignment="1">
      <alignment horizontal="left"/>
    </xf>
    <xf numFmtId="0" fontId="10" fillId="0" borderId="0" xfId="4" applyFont="1" applyFill="1" applyAlignment="1">
      <alignment horizontal="center"/>
    </xf>
    <xf numFmtId="14" fontId="8" fillId="0" borderId="0" xfId="5" quotePrefix="1" applyNumberFormat="1" applyFont="1" applyAlignment="1">
      <alignment horizontal="center"/>
    </xf>
    <xf numFmtId="0" fontId="8" fillId="0" borderId="0" xfId="5" applyFont="1"/>
    <xf numFmtId="0" fontId="8" fillId="0" borderId="0" xfId="3" applyFont="1" applyAlignment="1">
      <alignment vertical="center"/>
    </xf>
    <xf numFmtId="0" fontId="12" fillId="3" borderId="2" xfId="8" applyFont="1" applyFill="1" applyBorder="1" applyAlignment="1">
      <alignment vertical="center"/>
    </xf>
    <xf numFmtId="0" fontId="12" fillId="3" borderId="3" xfId="8" applyFont="1" applyFill="1" applyBorder="1" applyAlignment="1">
      <alignment vertical="center"/>
    </xf>
    <xf numFmtId="164" fontId="7" fillId="0" borderId="1" xfId="3" applyNumberFormat="1" applyFont="1" applyBorder="1" applyAlignment="1">
      <alignment horizontal="center" wrapText="1"/>
    </xf>
    <xf numFmtId="0" fontId="7" fillId="0" borderId="5" xfId="3" applyFont="1" applyBorder="1" applyAlignment="1"/>
    <xf numFmtId="164" fontId="7" fillId="0" borderId="6" xfId="3" applyNumberFormat="1" applyFont="1" applyBorder="1" applyAlignment="1">
      <alignment horizontal="center" wrapText="1"/>
    </xf>
    <xf numFmtId="166" fontId="8" fillId="0" borderId="7" xfId="1" applyNumberFormat="1" applyFont="1" applyFill="1" applyBorder="1" applyAlignment="1"/>
    <xf numFmtId="165" fontId="8" fillId="0" borderId="1" xfId="0" applyNumberFormat="1" applyFont="1" applyBorder="1"/>
    <xf numFmtId="166" fontId="8" fillId="0" borderId="0" xfId="1" applyNumberFormat="1" applyFont="1" applyFill="1" applyAlignment="1"/>
    <xf numFmtId="166" fontId="7" fillId="0" borderId="8" xfId="1" applyNumberFormat="1" applyFont="1" applyFill="1" applyBorder="1" applyAlignment="1"/>
    <xf numFmtId="0" fontId="8" fillId="0" borderId="1" xfId="3" applyFont="1" applyBorder="1" applyAlignment="1"/>
    <xf numFmtId="0" fontId="8" fillId="0" borderId="0" xfId="3" applyFont="1" applyAlignment="1">
      <alignment horizontal="center"/>
    </xf>
    <xf numFmtId="37" fontId="8" fillId="0" borderId="0" xfId="3" applyNumberFormat="1" applyFont="1" applyAlignment="1"/>
    <xf numFmtId="43" fontId="8" fillId="0" borderId="0" xfId="2" applyFont="1" applyFill="1" applyBorder="1"/>
    <xf numFmtId="43" fontId="8" fillId="0" borderId="0" xfId="1" applyFont="1" applyFill="1" applyBorder="1" applyAlignment="1">
      <alignment vertical="center" wrapText="1"/>
    </xf>
    <xf numFmtId="43" fontId="8" fillId="0" borderId="0" xfId="1" applyFont="1" applyFill="1" applyBorder="1"/>
    <xf numFmtId="0" fontId="13" fillId="0" borderId="0" xfId="10" applyFont="1" applyFill="1" applyBorder="1" applyAlignment="1" applyProtection="1">
      <alignment horizontal="center"/>
    </xf>
    <xf numFmtId="0" fontId="14" fillId="0" borderId="0" xfId="10" applyFont="1" applyFill="1" applyBorder="1" applyAlignment="1" applyProtection="1">
      <alignment horizontal="center"/>
    </xf>
    <xf numFmtId="37" fontId="8" fillId="0" borderId="0" xfId="3" applyNumberFormat="1" applyFont="1" applyAlignment="1">
      <alignment horizontal="center"/>
    </xf>
    <xf numFmtId="41" fontId="8" fillId="0" borderId="0" xfId="2" applyNumberFormat="1" applyFont="1" applyFill="1" applyBorder="1"/>
    <xf numFmtId="37" fontId="8" fillId="0" borderId="0" xfId="2" applyNumberFormat="1" applyFont="1" applyFill="1" applyBorder="1" applyAlignment="1">
      <alignment horizontal="center"/>
    </xf>
    <xf numFmtId="37" fontId="8" fillId="0" borderId="0" xfId="2" applyNumberFormat="1" applyFont="1" applyFill="1" applyBorder="1" applyAlignment="1"/>
    <xf numFmtId="166" fontId="7" fillId="0" borderId="0" xfId="2" applyNumberFormat="1" applyFont="1" applyFill="1" applyBorder="1" applyAlignment="1"/>
    <xf numFmtId="166" fontId="8" fillId="0" borderId="0" xfId="2" applyNumberFormat="1" applyFont="1" applyFill="1" applyBorder="1" applyAlignment="1"/>
    <xf numFmtId="166" fontId="8" fillId="0" borderId="0" xfId="2" applyNumberFormat="1" applyFont="1" applyFill="1" applyBorder="1" applyAlignment="1">
      <alignment horizontal="center"/>
    </xf>
    <xf numFmtId="0" fontId="15" fillId="0" borderId="0" xfId="3" applyFont="1" applyAlignment="1"/>
    <xf numFmtId="0" fontId="13" fillId="0" borderId="0" xfId="10" applyFont="1" applyFill="1" applyBorder="1" applyAlignment="1" applyProtection="1">
      <alignment horizontal="right"/>
    </xf>
    <xf numFmtId="0" fontId="16" fillId="0" borderId="0" xfId="10" applyFont="1" applyFill="1" applyBorder="1" applyAlignment="1" applyProtection="1">
      <alignment horizontal="center"/>
    </xf>
    <xf numFmtId="0" fontId="7" fillId="0" borderId="0" xfId="3" applyFont="1" applyAlignment="1"/>
    <xf numFmtId="166" fontId="8" fillId="0" borderId="0" xfId="3" applyNumberFormat="1" applyFont="1" applyAlignment="1"/>
    <xf numFmtId="0" fontId="8" fillId="0" borderId="0" xfId="3" applyFont="1" applyAlignment="1">
      <alignment wrapText="1"/>
    </xf>
    <xf numFmtId="166" fontId="8" fillId="0" borderId="0" xfId="1" applyNumberFormat="1" applyFont="1" applyFill="1" applyBorder="1" applyAlignment="1" applyProtection="1">
      <alignment horizontal="center"/>
    </xf>
    <xf numFmtId="43" fontId="8" fillId="0" borderId="0" xfId="1" applyFont="1" applyBorder="1" applyAlignment="1"/>
    <xf numFmtId="166" fontId="7" fillId="0" borderId="0" xfId="1" applyNumberFormat="1" applyFont="1" applyFill="1" applyBorder="1" applyAlignment="1" applyProtection="1">
      <alignment horizontal="center"/>
    </xf>
    <xf numFmtId="0" fontId="17" fillId="0" borderId="0" xfId="0" applyFont="1"/>
    <xf numFmtId="0" fontId="8" fillId="0" borderId="0" xfId="3" applyFont="1">
      <alignment vertical="top"/>
    </xf>
    <xf numFmtId="0" fontId="8" fillId="0" borderId="0" xfId="3" applyFont="1" applyAlignment="1">
      <alignment horizontal="center" vertical="top"/>
    </xf>
    <xf numFmtId="0" fontId="8" fillId="0" borderId="0" xfId="3" applyFont="1" applyAlignment="1">
      <alignment horizontal="left" vertical="center" wrapText="1"/>
    </xf>
    <xf numFmtId="0" fontId="8" fillId="0" borderId="0" xfId="3" applyFont="1" applyAlignment="1">
      <alignment horizontal="center" vertical="center" wrapText="1"/>
    </xf>
    <xf numFmtId="0" fontId="5" fillId="0" borderId="0" xfId="0" applyFont="1"/>
    <xf numFmtId="0" fontId="8" fillId="5" borderId="0" xfId="3" applyFont="1" applyFill="1" applyAlignment="1">
      <alignment horizontal="left"/>
    </xf>
    <xf numFmtId="0" fontId="8" fillId="5" borderId="14" xfId="3" applyFont="1" applyFill="1" applyBorder="1" applyAlignment="1"/>
    <xf numFmtId="0" fontId="8" fillId="5" borderId="14" xfId="6" applyFont="1" applyFill="1" applyBorder="1" applyAlignment="1">
      <alignment horizontal="left"/>
    </xf>
    <xf numFmtId="0" fontId="4" fillId="0" borderId="1" xfId="0" applyFont="1" applyBorder="1"/>
    <xf numFmtId="0" fontId="4" fillId="0" borderId="17" xfId="0" applyFont="1" applyBorder="1"/>
    <xf numFmtId="0" fontId="5" fillId="0" borderId="17" xfId="0" applyFont="1" applyBorder="1"/>
    <xf numFmtId="0" fontId="5" fillId="6" borderId="1" xfId="0" applyFont="1" applyFill="1" applyBorder="1" applyAlignment="1">
      <alignment horizontal="center" vertical="center" wrapText="1"/>
    </xf>
    <xf numFmtId="0" fontId="4" fillId="5" borderId="18" xfId="0" applyFont="1" applyFill="1" applyBorder="1"/>
    <xf numFmtId="0" fontId="4" fillId="5" borderId="15" xfId="0" applyFont="1" applyFill="1" applyBorder="1"/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12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23" fillId="0" borderId="0" xfId="12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12" applyFont="1" applyAlignment="1">
      <alignment horizontal="center" vertical="center" wrapText="1"/>
    </xf>
    <xf numFmtId="0" fontId="23" fillId="0" borderId="0" xfId="12" applyFont="1" applyAlignment="1">
      <alignment vertical="center"/>
    </xf>
    <xf numFmtId="166" fontId="24" fillId="0" borderId="0" xfId="13" applyNumberFormat="1" applyFont="1" applyFill="1" applyAlignment="1">
      <alignment horizontal="center" vertical="center"/>
    </xf>
    <xf numFmtId="167" fontId="24" fillId="0" borderId="0" xfId="12" quotePrefix="1" applyNumberFormat="1" applyFont="1"/>
    <xf numFmtId="167" fontId="23" fillId="0" borderId="0" xfId="12" applyNumberFormat="1" applyFont="1"/>
    <xf numFmtId="0" fontId="24" fillId="0" borderId="0" xfId="12" applyFont="1"/>
    <xf numFmtId="166" fontId="24" fillId="0" borderId="0" xfId="1" applyNumberFormat="1" applyFont="1" applyFill="1" applyBorder="1" applyAlignment="1">
      <alignment vertical="center"/>
    </xf>
    <xf numFmtId="166" fontId="23" fillId="0" borderId="0" xfId="0" applyNumberFormat="1" applyFont="1" applyAlignment="1">
      <alignment vertical="center"/>
    </xf>
    <xf numFmtId="166" fontId="23" fillId="0" borderId="20" xfId="0" applyNumberFormat="1" applyFont="1" applyBorder="1" applyAlignment="1">
      <alignment vertical="center"/>
    </xf>
    <xf numFmtId="166" fontId="23" fillId="0" borderId="0" xfId="1" applyNumberFormat="1" applyFont="1" applyFill="1" applyAlignment="1">
      <alignment vertical="center"/>
    </xf>
    <xf numFmtId="166" fontId="23" fillId="0" borderId="0" xfId="14" applyNumberFormat="1" applyFont="1" applyFill="1" applyBorder="1" applyAlignment="1">
      <alignment vertical="center"/>
    </xf>
    <xf numFmtId="167" fontId="24" fillId="0" borderId="0" xfId="12" applyNumberFormat="1" applyFont="1"/>
    <xf numFmtId="166" fontId="23" fillId="0" borderId="16" xfId="0" applyNumberFormat="1" applyFont="1" applyBorder="1" applyAlignment="1">
      <alignment vertical="center"/>
    </xf>
    <xf numFmtId="166" fontId="24" fillId="0" borderId="0" xfId="0" applyNumberFormat="1" applyFont="1" applyAlignment="1">
      <alignment vertical="center"/>
    </xf>
    <xf numFmtId="166" fontId="24" fillId="0" borderId="0" xfId="1" applyNumberFormat="1" applyFont="1" applyFill="1" applyAlignment="1"/>
    <xf numFmtId="166" fontId="24" fillId="0" borderId="0" xfId="1" quotePrefix="1" applyNumberFormat="1" applyFont="1" applyFill="1" applyAlignment="1"/>
    <xf numFmtId="166" fontId="23" fillId="0" borderId="20" xfId="1" applyNumberFormat="1" applyFont="1" applyFill="1" applyBorder="1" applyAlignment="1">
      <alignment vertical="center"/>
    </xf>
    <xf numFmtId="166" fontId="23" fillId="0" borderId="16" xfId="1" applyNumberFormat="1" applyFont="1" applyFill="1" applyBorder="1" applyAlignment="1">
      <alignment vertical="center"/>
    </xf>
    <xf numFmtId="166" fontId="24" fillId="0" borderId="0" xfId="14" applyNumberFormat="1" applyFont="1" applyFill="1" applyAlignment="1">
      <alignment horizontal="left" vertical="top"/>
    </xf>
    <xf numFmtId="166" fontId="24" fillId="0" borderId="0" xfId="13" applyNumberFormat="1" applyFont="1" applyFill="1" applyAlignment="1">
      <alignment horizontal="center"/>
    </xf>
    <xf numFmtId="49" fontId="23" fillId="0" borderId="0" xfId="0" applyNumberFormat="1" applyFont="1" applyAlignment="1">
      <alignment vertical="center"/>
    </xf>
    <xf numFmtId="166" fontId="23" fillId="0" borderId="16" xfId="14" applyNumberFormat="1" applyFont="1" applyFill="1" applyBorder="1" applyAlignment="1">
      <alignment vertical="center"/>
    </xf>
    <xf numFmtId="166" fontId="24" fillId="0" borderId="0" xfId="14" applyNumberFormat="1" applyFont="1" applyFill="1" applyBorder="1" applyAlignment="1">
      <alignment vertical="center"/>
    </xf>
    <xf numFmtId="166" fontId="24" fillId="0" borderId="0" xfId="12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166" fontId="24" fillId="0" borderId="19" xfId="14" applyNumberFormat="1" applyFont="1" applyFill="1" applyBorder="1" applyAlignment="1">
      <alignment vertical="center"/>
    </xf>
    <xf numFmtId="9" fontId="24" fillId="0" borderId="0" xfId="11" applyFont="1" applyFill="1" applyBorder="1" applyAlignment="1">
      <alignment vertical="center"/>
    </xf>
    <xf numFmtId="9" fontId="24" fillId="0" borderId="0" xfId="11" applyFont="1" applyAlignment="1">
      <alignment vertical="center"/>
    </xf>
    <xf numFmtId="0" fontId="7" fillId="5" borderId="0" xfId="3" applyFont="1" applyFill="1" applyAlignment="1">
      <alignment vertical="center"/>
    </xf>
    <xf numFmtId="0" fontId="7" fillId="5" borderId="0" xfId="3" applyFont="1" applyFill="1" applyAlignment="1"/>
    <xf numFmtId="0" fontId="7" fillId="5" borderId="14" xfId="3" applyFont="1" applyFill="1" applyBorder="1" applyAlignment="1"/>
    <xf numFmtId="0" fontId="7" fillId="5" borderId="0" xfId="0" applyFont="1" applyFill="1"/>
    <xf numFmtId="166" fontId="4" fillId="0" borderId="1" xfId="1" applyNumberFormat="1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166" fontId="4" fillId="0" borderId="1" xfId="1" applyNumberFormat="1" applyFont="1" applyBorder="1"/>
    <xf numFmtId="9" fontId="4" fillId="0" borderId="1" xfId="11" applyFont="1" applyBorder="1" applyAlignment="1">
      <alignment wrapText="1"/>
    </xf>
    <xf numFmtId="9" fontId="4" fillId="0" borderId="1" xfId="0" applyNumberFormat="1" applyFont="1" applyBorder="1" applyAlignment="1">
      <alignment wrapText="1"/>
    </xf>
    <xf numFmtId="166" fontId="5" fillId="0" borderId="1" xfId="1" applyNumberFormat="1" applyFont="1" applyBorder="1" applyAlignment="1">
      <alignment wrapText="1"/>
    </xf>
    <xf numFmtId="166" fontId="5" fillId="0" borderId="1" xfId="1" applyNumberFormat="1" applyFont="1" applyBorder="1"/>
    <xf numFmtId="0" fontId="7" fillId="5" borderId="11" xfId="0" applyFont="1" applyFill="1" applyBorder="1"/>
    <xf numFmtId="0" fontId="7" fillId="5" borderId="12" xfId="0" applyFont="1" applyFill="1" applyBorder="1"/>
    <xf numFmtId="0" fontId="17" fillId="5" borderId="18" xfId="0" applyFont="1" applyFill="1" applyBorder="1"/>
    <xf numFmtId="0" fontId="17" fillId="5" borderId="15" xfId="0" applyFont="1" applyFill="1" applyBorder="1"/>
    <xf numFmtId="0" fontId="7" fillId="5" borderId="0" xfId="3" applyFont="1" applyFill="1">
      <alignment vertical="top"/>
    </xf>
    <xf numFmtId="0" fontId="7" fillId="5" borderId="0" xfId="0" applyFont="1" applyFill="1" applyAlignment="1">
      <alignment wrapText="1"/>
    </xf>
    <xf numFmtId="0" fontId="4" fillId="0" borderId="0" xfId="15" applyFont="1"/>
    <xf numFmtId="0" fontId="4" fillId="0" borderId="0" xfId="15" applyFont="1" applyAlignment="1">
      <alignment wrapText="1"/>
    </xf>
    <xf numFmtId="14" fontId="4" fillId="0" borderId="0" xfId="15" applyNumberFormat="1" applyFont="1"/>
    <xf numFmtId="169" fontId="4" fillId="0" borderId="0" xfId="16" applyNumberFormat="1" applyFont="1"/>
    <xf numFmtId="169" fontId="4" fillId="0" borderId="0" xfId="15" applyNumberFormat="1" applyFont="1"/>
    <xf numFmtId="14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166" fontId="4" fillId="0" borderId="1" xfId="1" applyNumberFormat="1" applyFont="1" applyFill="1" applyBorder="1" applyAlignment="1">
      <alignment wrapText="1"/>
    </xf>
    <xf numFmtId="170" fontId="4" fillId="0" borderId="1" xfId="0" applyNumberFormat="1" applyFont="1" applyBorder="1" applyAlignment="1">
      <alignment wrapText="1"/>
    </xf>
    <xf numFmtId="0" fontId="9" fillId="5" borderId="11" xfId="0" applyFont="1" applyFill="1" applyBorder="1"/>
    <xf numFmtId="0" fontId="7" fillId="5" borderId="11" xfId="0" applyFont="1" applyFill="1" applyBorder="1" applyAlignment="1">
      <alignment horizontal="left" wrapText="1"/>
    </xf>
    <xf numFmtId="0" fontId="4" fillId="5" borderId="12" xfId="0" applyFont="1" applyFill="1" applyBorder="1"/>
    <xf numFmtId="0" fontId="9" fillId="5" borderId="0" xfId="0" applyFont="1" applyFill="1"/>
    <xf numFmtId="0" fontId="8" fillId="5" borderId="0" xfId="3" applyFont="1" applyFill="1" applyAlignment="1"/>
    <xf numFmtId="0" fontId="17" fillId="5" borderId="0" xfId="0" applyFont="1" applyFill="1"/>
    <xf numFmtId="0" fontId="9" fillId="5" borderId="14" xfId="0" applyFont="1" applyFill="1" applyBorder="1"/>
    <xf numFmtId="0" fontId="17" fillId="5" borderId="14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right" vertical="center" wrapText="1"/>
    </xf>
    <xf numFmtId="171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wrapText="1"/>
    </xf>
    <xf numFmtId="166" fontId="4" fillId="7" borderId="1" xfId="0" applyNumberFormat="1" applyFont="1" applyFill="1" applyBorder="1"/>
    <xf numFmtId="166" fontId="4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6" fontId="5" fillId="7" borderId="1" xfId="1" applyNumberFormat="1" applyFont="1" applyFill="1" applyBorder="1" applyAlignment="1">
      <alignment wrapText="1"/>
    </xf>
    <xf numFmtId="4" fontId="4" fillId="0" borderId="0" xfId="0" applyNumberFormat="1" applyFont="1"/>
    <xf numFmtId="9" fontId="4" fillId="0" borderId="1" xfId="0" applyNumberFormat="1" applyFont="1" applyBorder="1" applyAlignment="1">
      <alignment horizontal="center"/>
    </xf>
    <xf numFmtId="166" fontId="4" fillId="7" borderId="1" xfId="1" applyNumberFormat="1" applyFont="1" applyFill="1" applyBorder="1" applyAlignment="1">
      <alignment wrapText="1"/>
    </xf>
    <xf numFmtId="0" fontId="7" fillId="5" borderId="10" xfId="3" applyFont="1" applyFill="1" applyBorder="1" applyAlignment="1">
      <alignment vertical="center"/>
    </xf>
    <xf numFmtId="0" fontId="7" fillId="5" borderId="21" xfId="3" applyFont="1" applyFill="1" applyBorder="1" applyAlignment="1"/>
    <xf numFmtId="0" fontId="7" fillId="5" borderId="13" xfId="3" applyFont="1" applyFill="1" applyBorder="1" applyAlignment="1"/>
    <xf numFmtId="166" fontId="4" fillId="7" borderId="1" xfId="1" applyNumberFormat="1" applyFont="1" applyFill="1" applyBorder="1"/>
    <xf numFmtId="43" fontId="24" fillId="0" borderId="0" xfId="1" applyFont="1" applyAlignment="1">
      <alignment vertical="center"/>
    </xf>
    <xf numFmtId="0" fontId="4" fillId="0" borderId="1" xfId="0" applyFont="1" applyBorder="1" applyAlignment="1">
      <alignment horizontal="center" wrapText="1"/>
    </xf>
    <xf numFmtId="0" fontId="9" fillId="2" borderId="0" xfId="0" applyFont="1" applyFill="1" applyAlignment="1">
      <alignment vertical="center"/>
    </xf>
    <xf numFmtId="14" fontId="4" fillId="0" borderId="1" xfId="0" applyNumberFormat="1" applyFont="1" applyBorder="1" applyAlignment="1">
      <alignment horizontal="center" wrapText="1"/>
    </xf>
    <xf numFmtId="0" fontId="8" fillId="0" borderId="0" xfId="3" applyFont="1" applyAlignment="1">
      <alignment horizontal="left" wrapText="1"/>
    </xf>
    <xf numFmtId="0" fontId="8" fillId="0" borderId="0" xfId="3" applyFont="1" applyAlignment="1">
      <alignment horizontal="left" vertical="center" wrapText="1"/>
    </xf>
    <xf numFmtId="0" fontId="6" fillId="4" borderId="2" xfId="3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/>
    </xf>
    <xf numFmtId="0" fontId="6" fillId="4" borderId="3" xfId="3" applyFont="1" applyFill="1" applyBorder="1" applyAlignment="1">
      <alignment horizontal="center" vertical="center"/>
    </xf>
    <xf numFmtId="0" fontId="12" fillId="3" borderId="10" xfId="8" applyFont="1" applyFill="1" applyBorder="1" applyAlignment="1">
      <alignment horizontal="center" vertical="center"/>
    </xf>
    <xf numFmtId="0" fontId="12" fillId="3" borderId="11" xfId="8" applyFont="1" applyFill="1" applyBorder="1" applyAlignment="1">
      <alignment horizontal="center" vertical="center"/>
    </xf>
    <xf numFmtId="0" fontId="12" fillId="3" borderId="12" xfId="8" applyFont="1" applyFill="1" applyBorder="1" applyAlignment="1">
      <alignment horizontal="center" vertical="center"/>
    </xf>
    <xf numFmtId="0" fontId="12" fillId="3" borderId="13" xfId="8" applyFont="1" applyFill="1" applyBorder="1" applyAlignment="1">
      <alignment horizontal="center" vertical="center"/>
    </xf>
    <xf numFmtId="0" fontId="12" fillId="3" borderId="14" xfId="8" applyFont="1" applyFill="1" applyBorder="1" applyAlignment="1">
      <alignment horizontal="center" vertical="center"/>
    </xf>
    <xf numFmtId="0" fontId="12" fillId="3" borderId="15" xfId="8" applyFont="1" applyFill="1" applyBorder="1" applyAlignment="1">
      <alignment horizontal="center" vertical="center"/>
    </xf>
    <xf numFmtId="0" fontId="8" fillId="0" borderId="9" xfId="3" applyFont="1" applyBorder="1" applyAlignment="1">
      <alignment horizontal="center"/>
    </xf>
    <xf numFmtId="0" fontId="8" fillId="0" borderId="1" xfId="3" applyFont="1" applyBorder="1" applyAlignment="1">
      <alignment horizontal="left"/>
    </xf>
    <xf numFmtId="0" fontId="8" fillId="0" borderId="1" xfId="3" applyFont="1" applyBorder="1" applyAlignment="1">
      <alignment horizontal="center"/>
    </xf>
    <xf numFmtId="0" fontId="7" fillId="2" borderId="0" xfId="0" applyFont="1" applyFill="1" applyAlignment="1">
      <alignment horizontal="left" wrapText="1"/>
    </xf>
    <xf numFmtId="0" fontId="11" fillId="0" borderId="0" xfId="7" applyFont="1" applyAlignment="1">
      <alignment horizontal="left" vertical="center" wrapText="1"/>
    </xf>
    <xf numFmtId="164" fontId="12" fillId="3" borderId="2" xfId="9" applyNumberFormat="1" applyFont="1" applyFill="1" applyBorder="1" applyAlignment="1">
      <alignment horizontal="center" vertical="center" wrapText="1"/>
    </xf>
    <xf numFmtId="164" fontId="12" fillId="3" borderId="4" xfId="9" applyNumberFormat="1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</cellXfs>
  <cellStyles count="17">
    <cellStyle name="Comma" xfId="1" builtinId="3"/>
    <cellStyle name="Comma 10" xfId="14" xr:uid="{00000000-0005-0000-0000-000001000000}"/>
    <cellStyle name="Comma 2" xfId="2" xr:uid="{00000000-0005-0000-0000-000002000000}"/>
    <cellStyle name="Comma 3" xfId="16" xr:uid="{00000000-0005-0000-0000-000003000000}"/>
    <cellStyle name="Comma 8 3" xfId="13" xr:uid="{00000000-0005-0000-0000-000004000000}"/>
    <cellStyle name="Hyperlink" xfId="10" builtinId="8"/>
    <cellStyle name="Normal" xfId="0" builtinId="0"/>
    <cellStyle name="Normal 2" xfId="15" xr:uid="{00000000-0005-0000-0000-000007000000}"/>
    <cellStyle name="Normal 2 2 2 2 2" xfId="12" xr:uid="{00000000-0005-0000-0000-000008000000}"/>
    <cellStyle name="Normal 2 3 2" xfId="8" xr:uid="{00000000-0005-0000-0000-000009000000}"/>
    <cellStyle name="Normal 2_D 5  Lease" xfId="3" xr:uid="{00000000-0005-0000-0000-00000A000000}"/>
    <cellStyle name="Normal 2_Service Income" xfId="6" xr:uid="{00000000-0005-0000-0000-00000B000000}"/>
    <cellStyle name="Normal 2_Service Income 2" xfId="9" xr:uid="{00000000-0005-0000-0000-00000C000000}"/>
    <cellStyle name="Normal 20" xfId="7" xr:uid="{00000000-0005-0000-0000-00000D000000}"/>
    <cellStyle name="Normal 9 2 2" xfId="4" xr:uid="{00000000-0005-0000-0000-00000E000000}"/>
    <cellStyle name="Normal_Sample Sales 2" xfId="5" xr:uid="{00000000-0005-0000-0000-00000F000000}"/>
    <cellStyle name="Percent" xfId="1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TIVITY\FINANCE\Debit%20Note\DN-2002.D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rman.GMTGROUP/Downloads/Grand%20Mart-%20Fixed%20Asset%20Depreciation%20Schedule%202012%20onwards%20-%20updat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PPL%20Working\XL\FormatsCell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\Data%20(D)\Documents%20and%20Settings\gamal\Desktop\CLOSING09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\Mashreq\Documents%20and%20Settings\gamal.saleh\Local%20Settings\Temporary%20Internet%20Files\Content.Outlook\3FILJ81Z\BS%2031-12-2007%20Rev2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\Mashreq\My%20Documents\&#44221;&#47532;(Account)\&#53468;&#44397;(Thai)\&#51060;&#52632;&#51652;\USER\WON\WORKIMP\SU_S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va/Documents/Clients/GM/Grand%20Mart%20Group/ETS/Revenue/WIP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va/Documents/Clients/GM/Grand%20Mart%20Group/ETS/Revenue/Final/Revenue%20Calculation%20ETS%202014%20201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396;&#51221;\C\USER\WON\WORKIMP\SU_S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.Note-HO-B.Anne"/>
      <sheetName val="D.Note-HO-Jean Luc"/>
      <sheetName val="D.Note-HO-Bruno"/>
      <sheetName val="D.Note-HO-Jean Francois"/>
      <sheetName val="D.Note-BV Japan"/>
      <sheetName val="D.Note-MER"/>
      <sheetName val="D.Note - Technitas"/>
      <sheetName val="Sheet1"/>
      <sheetName val="Sheet2"/>
      <sheetName val="Sheet3"/>
      <sheetName val="D_Note-HO-B_Anne"/>
      <sheetName val="D_Note-HO-Jean_Luc"/>
      <sheetName val="D_Note-HO-Bruno"/>
      <sheetName val="D_Note-HO-Jean_Francois"/>
      <sheetName val="D_Note-BV_Japan"/>
      <sheetName val="D_Note-MER"/>
      <sheetName val="D_Note_-_Technitas"/>
      <sheetName val="D_Note-HO-B_Anne1"/>
      <sheetName val="D_Note-HO-Jean_Luc1"/>
      <sheetName val="D_Note-HO-Bruno1"/>
      <sheetName val="D_Note-HO-Jean_Francois1"/>
      <sheetName val="D_Note-BV_Japan1"/>
      <sheetName val="D_Note-MER1"/>
      <sheetName val="D_Note_-_Technitas1"/>
      <sheetName val="D_Note-HO-B_Anne2"/>
      <sheetName val="D_Note-HO-Jean_Luc2"/>
      <sheetName val="D_Note-HO-Bruno2"/>
      <sheetName val="D_Note-HO-Jean_Francois2"/>
      <sheetName val="D_Note-BV_Japan2"/>
      <sheetName val="D_Note-MER2"/>
      <sheetName val="D_Note_-_Technitas2"/>
      <sheetName val="D_Note-HO-B_Anne3"/>
      <sheetName val="D_Note-HO-Jean_Luc3"/>
      <sheetName val="D_Note-HO-Bruno3"/>
      <sheetName val="D_Note-HO-Jean_Francois3"/>
      <sheetName val="D_Note-BV_Japan3"/>
      <sheetName val="D_Note-MER3"/>
      <sheetName val="D_Note_-_Technitas3"/>
      <sheetName val="D_Note-HO-B_Anne4"/>
      <sheetName val="D_Note-HO-Jean_Luc4"/>
      <sheetName val="D_Note-HO-Bruno4"/>
      <sheetName val="D_Note-HO-Jean_Francois4"/>
      <sheetName val="D_Note-BV_Japan4"/>
      <sheetName val="D_Note-MER4"/>
      <sheetName val="D_Note_-_Technitas4"/>
      <sheetName val="D_Note-HO-B_Anne5"/>
      <sheetName val="D_Note-HO-Jean_Luc5"/>
      <sheetName val="D_Note-HO-Bruno5"/>
      <sheetName val="D_Note-HO-Jean_Francois5"/>
      <sheetName val="D_Note-BV_Japan5"/>
      <sheetName val="D_Note-MER5"/>
      <sheetName val="D_Note_-_Technitas5"/>
    </sheetNames>
    <sheetDataSet>
      <sheetData sheetId="0">
        <row r="28">
          <cell r="H28">
            <v>1213.7723691460055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7">
          <cell r="H3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8">
          <cell r="H28">
            <v>1213.7723691460055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28">
          <cell r="H28">
            <v>1213.7723691460055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28">
          <cell r="H28">
            <v>1213.7723691460055</v>
          </cell>
        </row>
      </sheetData>
      <sheetData sheetId="25"/>
      <sheetData sheetId="26"/>
      <sheetData sheetId="27"/>
      <sheetData sheetId="28"/>
      <sheetData sheetId="29"/>
      <sheetData sheetId="30"/>
      <sheetData sheetId="31">
        <row r="28">
          <cell r="H28">
            <v>1213.7723691460055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28">
          <cell r="H28">
            <v>1213.7723691460055</v>
          </cell>
        </row>
      </sheetData>
      <sheetData sheetId="39"/>
      <sheetData sheetId="40"/>
      <sheetData sheetId="41"/>
      <sheetData sheetId="42"/>
      <sheetData sheetId="43"/>
      <sheetData sheetId="44"/>
      <sheetData sheetId="45">
        <row r="28">
          <cell r="H28">
            <v>1213.7723691460055</v>
          </cell>
        </row>
      </sheetData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L3"/>
      <sheetName val="L4"/>
      <sheetName val="L6"/>
      <sheetName val="W1"/>
      <sheetName val="Sheet2"/>
      <sheetName val="Sheet3"/>
      <sheetName val="L2"/>
      <sheetName val="HO"/>
      <sheetName val="L1"/>
      <sheetName val="L2."/>
      <sheetName val="LVQ"/>
      <sheetName val="L7"/>
      <sheetName val="R1"/>
      <sheetName val="R2"/>
      <sheetName val="R4 "/>
      <sheetName val="R6"/>
      <sheetName val="R7"/>
      <sheetName val="R8"/>
      <sheetName val="R9"/>
      <sheetName val="R10"/>
      <sheetName val="R11"/>
      <sheetName val="Summary 2013 Pivot"/>
      <sheetName val="Summary 2014 Pivot"/>
      <sheetName val="Summary - All"/>
      <sheetName val="R12"/>
      <sheetName val="R13"/>
      <sheetName val="Sheet1"/>
      <sheetName val="R14"/>
      <sheetName val="R15"/>
      <sheetName val="R16"/>
      <sheetName val="Sheet4"/>
      <sheetName val="L2_"/>
      <sheetName val="R4_"/>
      <sheetName val="Summary_2013_Pivot"/>
      <sheetName val="Summary_2014_Pivot"/>
      <sheetName val="Summary_-_All"/>
      <sheetName val="L2_7"/>
      <sheetName val="R4_7"/>
      <sheetName val="Summary_2013_Pivot7"/>
      <sheetName val="Summary_2014_Pivot7"/>
      <sheetName val="Summary_-_All7"/>
      <sheetName val="L2_1"/>
      <sheetName val="R4_1"/>
      <sheetName val="Summary_2013_Pivot1"/>
      <sheetName val="Summary_2014_Pivot1"/>
      <sheetName val="Summary_-_All1"/>
      <sheetName val="L2_2"/>
      <sheetName val="R4_2"/>
      <sheetName val="Summary_2013_Pivot2"/>
      <sheetName val="Summary_2014_Pivot2"/>
      <sheetName val="Summary_-_All2"/>
      <sheetName val="L2_5"/>
      <sheetName val="R4_5"/>
      <sheetName val="Summary_2013_Pivot5"/>
      <sheetName val="Summary_2014_Pivot5"/>
      <sheetName val="Summary_-_All5"/>
      <sheetName val="L2_3"/>
      <sheetName val="R4_3"/>
      <sheetName val="Summary_2013_Pivot3"/>
      <sheetName val="Summary_2014_Pivot3"/>
      <sheetName val="Summary_-_All3"/>
      <sheetName val="L2_4"/>
      <sheetName val="R4_4"/>
      <sheetName val="Summary_2013_Pivot4"/>
      <sheetName val="Summary_2014_Pivot4"/>
      <sheetName val="Summary_-_All4"/>
      <sheetName val="L2_6"/>
      <sheetName val="R4_6"/>
      <sheetName val="Summary_2013_Pivot6"/>
      <sheetName val="Summary_2014_Pivot6"/>
      <sheetName val="Summary_-_All6"/>
      <sheetName val="L2_8"/>
      <sheetName val="R4_8"/>
      <sheetName val="Summary_2013_Pivot8"/>
      <sheetName val="Summary_2014_Pivot8"/>
      <sheetName val="Summary_-_All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Date</v>
          </cell>
          <cell r="F1" t="str">
            <v>Memo</v>
          </cell>
          <cell r="H1" t="str">
            <v>Debit</v>
          </cell>
          <cell r="I1" t="str">
            <v>Dep Prd</v>
          </cell>
          <cell r="J1" t="str">
            <v>Dep PM</v>
          </cell>
          <cell r="K1">
            <v>39387</v>
          </cell>
          <cell r="L1">
            <v>39417</v>
          </cell>
          <cell r="M1">
            <v>39448</v>
          </cell>
          <cell r="N1">
            <v>39479</v>
          </cell>
          <cell r="O1">
            <v>39508</v>
          </cell>
          <cell r="P1">
            <v>39539</v>
          </cell>
          <cell r="Q1">
            <v>39569</v>
          </cell>
          <cell r="R1">
            <v>39600</v>
          </cell>
          <cell r="S1">
            <v>39630</v>
          </cell>
          <cell r="T1">
            <v>39661</v>
          </cell>
          <cell r="U1">
            <v>39692</v>
          </cell>
          <cell r="V1">
            <v>39722</v>
          </cell>
          <cell r="W1">
            <v>39753</v>
          </cell>
          <cell r="X1">
            <v>39783</v>
          </cell>
          <cell r="Y1">
            <v>39814</v>
          </cell>
          <cell r="Z1">
            <v>39845</v>
          </cell>
          <cell r="AA1">
            <v>39873</v>
          </cell>
          <cell r="AB1">
            <v>39904</v>
          </cell>
          <cell r="AC1">
            <v>39934</v>
          </cell>
          <cell r="AD1">
            <v>39965</v>
          </cell>
          <cell r="AE1">
            <v>39995</v>
          </cell>
          <cell r="AF1">
            <v>40026</v>
          </cell>
          <cell r="AG1">
            <v>40057</v>
          </cell>
          <cell r="AH1">
            <v>40087</v>
          </cell>
          <cell r="AI1">
            <v>40118</v>
          </cell>
          <cell r="AJ1">
            <v>40148</v>
          </cell>
          <cell r="AK1">
            <v>40179</v>
          </cell>
          <cell r="AL1">
            <v>40210</v>
          </cell>
          <cell r="AM1">
            <v>40238</v>
          </cell>
          <cell r="AN1">
            <v>40269</v>
          </cell>
          <cell r="AO1">
            <v>40299</v>
          </cell>
          <cell r="AP1">
            <v>40330</v>
          </cell>
          <cell r="AQ1">
            <v>40360</v>
          </cell>
          <cell r="AR1">
            <v>40391</v>
          </cell>
          <cell r="AS1">
            <v>40422</v>
          </cell>
          <cell r="AT1">
            <v>40461</v>
          </cell>
          <cell r="AU1" t="str">
            <v>Nov-10</v>
          </cell>
          <cell r="AV1">
            <v>40513</v>
          </cell>
          <cell r="AW1">
            <v>40544</v>
          </cell>
          <cell r="AX1">
            <v>40575</v>
          </cell>
          <cell r="AY1">
            <v>40603</v>
          </cell>
          <cell r="AZ1">
            <v>40634</v>
          </cell>
          <cell r="BA1">
            <v>40664</v>
          </cell>
          <cell r="BB1">
            <v>40695</v>
          </cell>
          <cell r="BC1">
            <v>40725</v>
          </cell>
          <cell r="BD1">
            <v>40756</v>
          </cell>
          <cell r="BE1">
            <v>40787</v>
          </cell>
          <cell r="BF1">
            <v>40817</v>
          </cell>
          <cell r="BG1">
            <v>40848</v>
          </cell>
          <cell r="BH1">
            <v>40878</v>
          </cell>
          <cell r="BI1">
            <v>40909</v>
          </cell>
          <cell r="BJ1">
            <v>40940</v>
          </cell>
          <cell r="BK1">
            <v>40969</v>
          </cell>
          <cell r="BL1">
            <v>41000</v>
          </cell>
          <cell r="BM1">
            <v>41030</v>
          </cell>
          <cell r="BN1">
            <v>41061</v>
          </cell>
          <cell r="BO1">
            <v>41091</v>
          </cell>
          <cell r="BP1">
            <v>41122</v>
          </cell>
          <cell r="BQ1">
            <v>41153</v>
          </cell>
          <cell r="BR1">
            <v>41183</v>
          </cell>
          <cell r="BS1">
            <v>41214</v>
          </cell>
          <cell r="BT1">
            <v>41244</v>
          </cell>
          <cell r="BU1">
            <v>41275</v>
          </cell>
          <cell r="BV1">
            <v>41306</v>
          </cell>
          <cell r="BW1">
            <v>41334</v>
          </cell>
          <cell r="BX1">
            <v>41365</v>
          </cell>
          <cell r="BY1">
            <v>41395</v>
          </cell>
          <cell r="BZ1">
            <v>41426</v>
          </cell>
          <cell r="CA1">
            <v>41456</v>
          </cell>
          <cell r="CB1">
            <v>41487</v>
          </cell>
          <cell r="CC1">
            <v>41518</v>
          </cell>
          <cell r="CD1">
            <v>41548</v>
          </cell>
          <cell r="CE1">
            <v>41579</v>
          </cell>
          <cell r="CF1">
            <v>41609</v>
          </cell>
          <cell r="CG1">
            <v>41640</v>
          </cell>
          <cell r="CH1">
            <v>41671</v>
          </cell>
          <cell r="CI1">
            <v>41699</v>
          </cell>
          <cell r="CJ1">
            <v>41730</v>
          </cell>
          <cell r="CK1">
            <v>41760</v>
          </cell>
          <cell r="CL1">
            <v>41791</v>
          </cell>
          <cell r="CM1">
            <v>41821</v>
          </cell>
          <cell r="CN1">
            <v>41852</v>
          </cell>
          <cell r="CO1">
            <v>41883</v>
          </cell>
          <cell r="CP1">
            <v>41913</v>
          </cell>
          <cell r="CQ1">
            <v>41944</v>
          </cell>
          <cell r="CR1">
            <v>41974</v>
          </cell>
          <cell r="CS1">
            <v>42005</v>
          </cell>
          <cell r="CT1">
            <v>42036</v>
          </cell>
          <cell r="CU1">
            <v>42064</v>
          </cell>
          <cell r="CV1">
            <v>42095</v>
          </cell>
          <cell r="CW1">
            <v>42125</v>
          </cell>
          <cell r="CX1">
            <v>42156</v>
          </cell>
          <cell r="CY1">
            <v>42186</v>
          </cell>
          <cell r="CZ1">
            <v>42217</v>
          </cell>
          <cell r="DA1">
            <v>42248</v>
          </cell>
          <cell r="DB1">
            <v>42278</v>
          </cell>
          <cell r="DC1">
            <v>42309</v>
          </cell>
          <cell r="DD1">
            <v>42339</v>
          </cell>
        </row>
        <row r="3">
          <cell r="A3" t="str">
            <v>1670 · Computer and Office -Gross</v>
          </cell>
        </row>
        <row r="4">
          <cell r="A4">
            <v>60</v>
          </cell>
        </row>
        <row r="5">
          <cell r="A5">
            <v>60</v>
          </cell>
        </row>
        <row r="6">
          <cell r="A6">
            <v>60</v>
          </cell>
        </row>
        <row r="7">
          <cell r="A7">
            <v>60</v>
          </cell>
        </row>
        <row r="8">
          <cell r="A8">
            <v>60</v>
          </cell>
        </row>
        <row r="9">
          <cell r="A9">
            <v>60</v>
          </cell>
        </row>
        <row r="10">
          <cell r="A10">
            <v>60</v>
          </cell>
        </row>
        <row r="11">
          <cell r="A11">
            <v>60</v>
          </cell>
        </row>
        <row r="12">
          <cell r="A12">
            <v>60</v>
          </cell>
        </row>
        <row r="13">
          <cell r="A13">
            <v>60</v>
          </cell>
        </row>
        <row r="14">
          <cell r="A14">
            <v>60</v>
          </cell>
        </row>
        <row r="15">
          <cell r="A15">
            <v>60</v>
          </cell>
        </row>
        <row r="16">
          <cell r="A16">
            <v>60</v>
          </cell>
        </row>
        <row r="17">
          <cell r="A17">
            <v>48</v>
          </cell>
        </row>
        <row r="18">
          <cell r="A18">
            <v>23</v>
          </cell>
        </row>
        <row r="19">
          <cell r="A19">
            <v>21</v>
          </cell>
        </row>
        <row r="20">
          <cell r="A20">
            <v>9</v>
          </cell>
        </row>
        <row r="21">
          <cell r="A21">
            <v>2</v>
          </cell>
        </row>
        <row r="22">
          <cell r="A22" t="str">
            <v>Total</v>
          </cell>
        </row>
        <row r="25">
          <cell r="A25" t="str">
            <v>1700 · Electric Equipments- Gross</v>
          </cell>
        </row>
        <row r="26">
          <cell r="A26">
            <v>60</v>
          </cell>
        </row>
        <row r="27">
          <cell r="A27">
            <v>60</v>
          </cell>
        </row>
        <row r="28">
          <cell r="A28">
            <v>60</v>
          </cell>
        </row>
        <row r="29">
          <cell r="A29">
            <v>59</v>
          </cell>
        </row>
        <row r="30">
          <cell r="A30">
            <v>58</v>
          </cell>
        </row>
        <row r="31">
          <cell r="A31">
            <v>56</v>
          </cell>
        </row>
        <row r="32">
          <cell r="A32">
            <v>54</v>
          </cell>
        </row>
        <row r="33">
          <cell r="A33">
            <v>52</v>
          </cell>
        </row>
        <row r="34">
          <cell r="A34">
            <v>27</v>
          </cell>
        </row>
        <row r="35">
          <cell r="A35">
            <v>27</v>
          </cell>
        </row>
        <row r="36">
          <cell r="A36">
            <v>23</v>
          </cell>
        </row>
        <row r="37">
          <cell r="A37">
            <v>17</v>
          </cell>
        </row>
        <row r="38">
          <cell r="A38">
            <v>17</v>
          </cell>
        </row>
        <row r="39">
          <cell r="A39">
            <v>12</v>
          </cell>
        </row>
        <row r="40">
          <cell r="A40" t="str">
            <v>Total</v>
          </cell>
        </row>
        <row r="43">
          <cell r="A43" t="str">
            <v>1740 · Freezers and Chillers- Gross</v>
          </cell>
        </row>
        <row r="44">
          <cell r="A44">
            <v>60</v>
          </cell>
        </row>
        <row r="45">
          <cell r="A45">
            <v>24</v>
          </cell>
        </row>
        <row r="46">
          <cell r="A46" t="str">
            <v>Total</v>
          </cell>
        </row>
        <row r="49">
          <cell r="A49" t="str">
            <v>1770 · Furniture- Gross</v>
          </cell>
        </row>
        <row r="50">
          <cell r="A50">
            <v>60</v>
          </cell>
        </row>
        <row r="51">
          <cell r="A51">
            <v>60</v>
          </cell>
        </row>
        <row r="52">
          <cell r="A52">
            <v>60</v>
          </cell>
        </row>
        <row r="53">
          <cell r="A53">
            <v>60</v>
          </cell>
        </row>
        <row r="54">
          <cell r="A54">
            <v>60</v>
          </cell>
        </row>
        <row r="55">
          <cell r="A55">
            <v>41</v>
          </cell>
        </row>
        <row r="56">
          <cell r="A56">
            <v>31</v>
          </cell>
        </row>
        <row r="57">
          <cell r="A57">
            <v>21</v>
          </cell>
        </row>
        <row r="58">
          <cell r="A58">
            <v>10</v>
          </cell>
        </row>
        <row r="59">
          <cell r="A59">
            <v>5</v>
          </cell>
        </row>
        <row r="60">
          <cell r="A60">
            <v>4</v>
          </cell>
        </row>
        <row r="61">
          <cell r="A61" t="str">
            <v>Total</v>
          </cell>
        </row>
        <row r="64">
          <cell r="A64" t="str">
            <v>1800 · Interiors &amp; Develop- Gross</v>
          </cell>
        </row>
        <row r="65">
          <cell r="A65">
            <v>60</v>
          </cell>
        </row>
        <row r="66">
          <cell r="A66">
            <v>60</v>
          </cell>
        </row>
        <row r="67">
          <cell r="A67">
            <v>60</v>
          </cell>
        </row>
        <row r="68">
          <cell r="A68">
            <v>60</v>
          </cell>
        </row>
        <row r="69">
          <cell r="A69">
            <v>60</v>
          </cell>
        </row>
        <row r="70">
          <cell r="A70">
            <v>60</v>
          </cell>
        </row>
        <row r="71">
          <cell r="A71">
            <v>60</v>
          </cell>
        </row>
        <row r="72">
          <cell r="A72">
            <v>60</v>
          </cell>
        </row>
        <row r="73">
          <cell r="A73">
            <v>60</v>
          </cell>
        </row>
        <row r="74">
          <cell r="A74">
            <v>45</v>
          </cell>
        </row>
        <row r="75">
          <cell r="A75">
            <v>10</v>
          </cell>
        </row>
        <row r="76">
          <cell r="A76" t="str">
            <v>Total</v>
          </cell>
        </row>
        <row r="79">
          <cell r="A79" t="str">
            <v>1830 · Machinery- Gross</v>
          </cell>
        </row>
        <row r="80">
          <cell r="A80">
            <v>60</v>
          </cell>
        </row>
        <row r="81">
          <cell r="A81">
            <v>60</v>
          </cell>
        </row>
        <row r="82">
          <cell r="A82">
            <v>60</v>
          </cell>
        </row>
        <row r="83">
          <cell r="A83">
            <v>29</v>
          </cell>
        </row>
        <row r="84">
          <cell r="A84" t="str">
            <v>Total</v>
          </cell>
        </row>
        <row r="87">
          <cell r="A87" t="str">
            <v>1890 · Racks and Fittings- Gross</v>
          </cell>
        </row>
        <row r="88">
          <cell r="A88">
            <v>60</v>
          </cell>
        </row>
        <row r="89">
          <cell r="A89">
            <v>60</v>
          </cell>
        </row>
        <row r="90">
          <cell r="A90">
            <v>60</v>
          </cell>
        </row>
        <row r="91">
          <cell r="A91">
            <v>60</v>
          </cell>
        </row>
        <row r="92">
          <cell r="A92">
            <v>60</v>
          </cell>
        </row>
        <row r="93">
          <cell r="A93">
            <v>60</v>
          </cell>
        </row>
        <row r="94">
          <cell r="A94">
            <v>60</v>
          </cell>
        </row>
        <row r="95">
          <cell r="A95">
            <v>60</v>
          </cell>
        </row>
        <row r="96">
          <cell r="A96">
            <v>44</v>
          </cell>
        </row>
        <row r="97">
          <cell r="A97">
            <v>44</v>
          </cell>
        </row>
        <row r="98">
          <cell r="A98" t="str">
            <v>Total</v>
          </cell>
        </row>
        <row r="102">
          <cell r="A102" t="str">
            <v>Grand Total</v>
          </cell>
        </row>
        <row r="104">
          <cell r="A104" t="str">
            <v>Asset Closing Value (FLATE RATE METHOD)</v>
          </cell>
        </row>
        <row r="107">
          <cell r="A107" t="str">
            <v>J
A
N
-
2012</v>
          </cell>
        </row>
        <row r="119">
          <cell r="A119" t="str">
            <v>F
E
B
-
2012</v>
          </cell>
        </row>
        <row r="131">
          <cell r="A131" t="str">
            <v>M
A
R
-
2012</v>
          </cell>
        </row>
        <row r="143">
          <cell r="A143" t="str">
            <v>A
P
R
-
2012</v>
          </cell>
        </row>
        <row r="155">
          <cell r="A155" t="str">
            <v>M
A
Y
-
2012</v>
          </cell>
        </row>
        <row r="167">
          <cell r="A167" t="str">
            <v>JUNE
2012</v>
          </cell>
        </row>
        <row r="179">
          <cell r="A179" t="str">
            <v>JULY
2012</v>
          </cell>
        </row>
        <row r="191">
          <cell r="A191" t="str">
            <v>AUG
2012</v>
          </cell>
        </row>
        <row r="203">
          <cell r="A203" t="str">
            <v>SEPT
2012</v>
          </cell>
        </row>
        <row r="215">
          <cell r="A215" t="str">
            <v>OCT
2012</v>
          </cell>
        </row>
        <row r="227">
          <cell r="A227" t="str">
            <v>NOV
2012</v>
          </cell>
        </row>
        <row r="239">
          <cell r="A239" t="str">
            <v>DEC
2012</v>
          </cell>
        </row>
        <row r="251">
          <cell r="A251" t="str">
            <v>JAN
2013</v>
          </cell>
        </row>
        <row r="263">
          <cell r="A263" t="str">
            <v>FEB
2013</v>
          </cell>
        </row>
        <row r="275">
          <cell r="A275" t="str">
            <v>MAR
2013</v>
          </cell>
        </row>
        <row r="287">
          <cell r="A287" t="str">
            <v>APR
2013</v>
          </cell>
        </row>
        <row r="299">
          <cell r="A299" t="str">
            <v>MAY
2013</v>
          </cell>
        </row>
        <row r="311">
          <cell r="A311" t="str">
            <v>JUNE
2013</v>
          </cell>
        </row>
        <row r="323">
          <cell r="A323" t="str">
            <v>JULY
2013</v>
          </cell>
        </row>
        <row r="335">
          <cell r="A335" t="str">
            <v>AUGUST
2013</v>
          </cell>
        </row>
        <row r="347">
          <cell r="A347" t="str">
            <v>SEPTEMBER
2013</v>
          </cell>
        </row>
        <row r="359">
          <cell r="A359" t="str">
            <v>OCTOBER
2013</v>
          </cell>
        </row>
        <row r="371">
          <cell r="A371" t="str">
            <v>NOVEMBER
2013</v>
          </cell>
        </row>
        <row r="383">
          <cell r="A383" t="str">
            <v>DECEMBER
2013</v>
          </cell>
        </row>
        <row r="395">
          <cell r="A395" t="str">
            <v>JANUARY
2014</v>
          </cell>
        </row>
        <row r="407">
          <cell r="A407" t="str">
            <v>FEBRUARY
2014</v>
          </cell>
        </row>
        <row r="419">
          <cell r="A419" t="str">
            <v>MARCH
2014</v>
          </cell>
        </row>
        <row r="431">
          <cell r="A431" t="str">
            <v>APRIL
2014</v>
          </cell>
        </row>
        <row r="443">
          <cell r="A443" t="str">
            <v>MAY
2014</v>
          </cell>
        </row>
        <row r="455">
          <cell r="A455" t="str">
            <v>JUN
2014</v>
          </cell>
        </row>
        <row r="467">
          <cell r="A467" t="str">
            <v>JULY
2014</v>
          </cell>
        </row>
        <row r="479">
          <cell r="A479" t="str">
            <v>AUGUST
2014</v>
          </cell>
        </row>
        <row r="491">
          <cell r="A491" t="str">
            <v>SEPTEMBER
2014</v>
          </cell>
        </row>
        <row r="503">
          <cell r="A503" t="str">
            <v>OCTOBER
2014</v>
          </cell>
        </row>
        <row r="515">
          <cell r="A515" t="str">
            <v>NOVEMBER
2014</v>
          </cell>
        </row>
        <row r="527">
          <cell r="A527" t="str">
            <v>DECEMBER
2014</v>
          </cell>
        </row>
        <row r="539">
          <cell r="A539" t="str">
            <v>JANUARY
2015</v>
          </cell>
        </row>
        <row r="551">
          <cell r="A551" t="str">
            <v>FEBRUARY
2015</v>
          </cell>
        </row>
        <row r="563">
          <cell r="A563" t="str">
            <v>MARCH
2015</v>
          </cell>
        </row>
        <row r="575">
          <cell r="A575" t="str">
            <v>APRIL
2015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try1"/>
      <sheetName val="Invtry2"/>
      <sheetName val="Invtry3"/>
      <sheetName val="VchrFrmts"/>
      <sheetName val="RgstrsFrmt"/>
      <sheetName val="InvFrmt"/>
      <sheetName val="Tel"/>
      <sheetName val="Acknl"/>
      <sheetName val="MSFrmt"/>
      <sheetName val="ClfctnAra"/>
      <sheetName val="MntlyRpt"/>
      <sheetName val="ExpStatFrm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F&amp;B"/>
      <sheetName val="A&amp;G"/>
      <sheetName val="HR"/>
      <sheetName val="ENG"/>
      <sheetName val="Lookup"/>
      <sheetName val="INDEX"/>
      <sheetName val="P&amp;L"/>
      <sheetName val="PL Sumry"/>
      <sheetName val="Sheet1"/>
      <sheetName val="Bal Sheet"/>
      <sheetName val="BS Sumry"/>
      <sheetName val="TB"/>
      <sheetName val="Financial KPI's"/>
      <sheetName val="Account Inquiry"/>
      <sheetName val="Aging"/>
      <sheetName val="Ls_XLB_WorkbookFile"/>
      <sheetName val="PL_Sumry9"/>
      <sheetName val="Bal_Sheet9"/>
      <sheetName val="BS_Sumry9"/>
      <sheetName val="Financial_KPI's9"/>
      <sheetName val="Account_Inquiry9"/>
      <sheetName val="PL_Sumry"/>
      <sheetName val="Bal_Sheet"/>
      <sheetName val="BS_Sumry"/>
      <sheetName val="Financial_KPI's"/>
      <sheetName val="Account_Inquiry"/>
      <sheetName val="PL_Sumry1"/>
      <sheetName val="Bal_Sheet1"/>
      <sheetName val="BS_Sumry1"/>
      <sheetName val="Financial_KPI's1"/>
      <sheetName val="Account_Inquiry1"/>
      <sheetName val="PL_Sumry2"/>
      <sheetName val="Bal_Sheet2"/>
      <sheetName val="BS_Sumry2"/>
      <sheetName val="Financial_KPI's2"/>
      <sheetName val="Account_Inquiry2"/>
      <sheetName val="PL_Sumry3"/>
      <sheetName val="Bal_Sheet3"/>
      <sheetName val="BS_Sumry3"/>
      <sheetName val="Financial_KPI's3"/>
      <sheetName val="Account_Inquiry3"/>
      <sheetName val="PL_Sumry4"/>
      <sheetName val="Bal_Sheet4"/>
      <sheetName val="BS_Sumry4"/>
      <sheetName val="Financial_KPI's4"/>
      <sheetName val="Account_Inquiry4"/>
      <sheetName val="PL_Sumry5"/>
      <sheetName val="Bal_Sheet5"/>
      <sheetName val="BS_Sumry5"/>
      <sheetName val="Financial_KPI's5"/>
      <sheetName val="Account_Inquiry5"/>
      <sheetName val="PL_Sumry6"/>
      <sheetName val="Bal_Sheet6"/>
      <sheetName val="BS_Sumry6"/>
      <sheetName val="Financial_KPI's6"/>
      <sheetName val="Account_Inquiry6"/>
      <sheetName val="PL_Sumry7"/>
      <sheetName val="Bal_Sheet7"/>
      <sheetName val="BS_Sumry7"/>
      <sheetName val="Financial_KPI's7"/>
      <sheetName val="Account_Inquiry7"/>
      <sheetName val="PL_Sumry8"/>
      <sheetName val="Bal_Sheet8"/>
      <sheetName val="BS_Sumry8"/>
      <sheetName val="Financial_KPI's8"/>
      <sheetName val="Account_Inquiry8"/>
      <sheetName val="PL_Sumry10"/>
      <sheetName val="Bal_Sheet10"/>
      <sheetName val="BS_Sumry10"/>
      <sheetName val="Financial_KPI's10"/>
      <sheetName val="Account_Inquiry10"/>
      <sheetName val="PL_Sumry11"/>
      <sheetName val="Bal_Sheet11"/>
      <sheetName val="BS_Sumry11"/>
      <sheetName val="Financial_KPI's11"/>
      <sheetName val="Account_Inquiry11"/>
      <sheetName val="PL_Sumry12"/>
      <sheetName val="Bal_Sheet12"/>
      <sheetName val="BS_Sumry12"/>
      <sheetName val="Financial_KPI's12"/>
      <sheetName val="Account_Inquiry12"/>
      <sheetName val="PL_Sumry13"/>
      <sheetName val="Bal_Sheet13"/>
      <sheetName val="BS_Sumry13"/>
      <sheetName val="Financial_KPI's13"/>
      <sheetName val="Account_Inquiry13"/>
      <sheetName val="PL_Sumry14"/>
      <sheetName val="Bal_Sheet14"/>
      <sheetName val="BS_Sumry14"/>
      <sheetName val="Financial_KPI's14"/>
      <sheetName val="Account_Inquiry14"/>
      <sheetName val="PL_Sumry15"/>
      <sheetName val="Bal_Sheet15"/>
      <sheetName val="BS_Sumry15"/>
      <sheetName val="Financial_KPI's15"/>
      <sheetName val="Account_Inquiry15"/>
      <sheetName val="PL_Sumry16"/>
      <sheetName val="Bal_Sheet16"/>
      <sheetName val="BS_Sumry16"/>
      <sheetName val="Financial_KPI's16"/>
      <sheetName val="Account_Inquiry16"/>
      <sheetName val="PL_Sumry18"/>
      <sheetName val="Bal_Sheet18"/>
      <sheetName val="BS_Sumry18"/>
      <sheetName val="Financial_KPI's18"/>
      <sheetName val="Account_Inquiry18"/>
      <sheetName val="PL_Sumry17"/>
      <sheetName val="Bal_Sheet17"/>
      <sheetName val="BS_Sumry17"/>
      <sheetName val="Financial_KPI's17"/>
      <sheetName val="Account_Inquiry17"/>
      <sheetName val="PL_Sumry19"/>
      <sheetName val="Bal_Sheet19"/>
      <sheetName val="BS_Sumry19"/>
      <sheetName val="Financial_KPI's19"/>
      <sheetName val="Account_Inquiry19"/>
      <sheetName val="PL_Sumry20"/>
      <sheetName val="Bal_Sheet20"/>
      <sheetName val="BS_Sumry20"/>
      <sheetName val="Financial_KPI's20"/>
      <sheetName val="Account_Inquiry20"/>
      <sheetName val="PL_Sumry22"/>
      <sheetName val="Bal_Sheet22"/>
      <sheetName val="BS_Sumry22"/>
      <sheetName val="Financial_KPI's22"/>
      <sheetName val="Account_Inquiry22"/>
      <sheetName val="PL_Sumry21"/>
      <sheetName val="Bal_Sheet21"/>
      <sheetName val="BS_Sumry21"/>
      <sheetName val="Financial_KPI's21"/>
      <sheetName val="Account_Inquiry21"/>
      <sheetName val="PL_Sumry23"/>
      <sheetName val="Bal_Sheet23"/>
      <sheetName val="BS_Sumry23"/>
      <sheetName val="Financial_KPI's23"/>
      <sheetName val="Account_Inquiry23"/>
      <sheetName val="PL_Sumry24"/>
      <sheetName val="Bal_Sheet24"/>
      <sheetName val="BS_Sumry24"/>
      <sheetName val="Financial_KPI's24"/>
      <sheetName val="Account_Inquiry24"/>
      <sheetName val="PL_Sumry25"/>
      <sheetName val="Bal_Sheet25"/>
      <sheetName val="BS_Sumry25"/>
      <sheetName val="Financial_KPI's25"/>
      <sheetName val="Account_Inquiry25"/>
      <sheetName val="PL_Sumry26"/>
      <sheetName val="Bal_Sheet26"/>
      <sheetName val="BS_Sumry26"/>
      <sheetName val="Financial_KPI's26"/>
      <sheetName val="Account_Inquiry26"/>
      <sheetName val="PL_Sumry27"/>
      <sheetName val="Bal_Sheet27"/>
      <sheetName val="BS_Sumry27"/>
      <sheetName val="Financial_KPI's27"/>
      <sheetName val="Account_Inquiry27"/>
      <sheetName val="bs"/>
      <sheetName val="PL_Sumry28"/>
      <sheetName val="Bal_Sheet28"/>
      <sheetName val="BS_Sumry28"/>
      <sheetName val="Financial_KPI's28"/>
      <sheetName val="Account_Inquiry28"/>
    </sheetNames>
    <sheetDataSet>
      <sheetData sheetId="0">
        <row r="3">
          <cell r="B3" t="str">
            <v>LPQ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5">
          <cell r="D15" t="str">
            <v>30</v>
          </cell>
        </row>
        <row r="16">
          <cell r="D16">
            <v>30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/>
      <sheetData sheetId="159"/>
      <sheetData sheetId="160"/>
      <sheetData sheetId="161"/>
      <sheetData sheetId="16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dc"/>
      <sheetName val="a-dc"/>
      <sheetName val="gb-dc"/>
      <sheetName val="w-nr"/>
      <sheetName val="a-nr"/>
      <sheetName val="gb-nr"/>
      <sheetName val="w-c"/>
      <sheetName val="a-c"/>
      <sheetName val="gb-c"/>
      <sheetName val="pc"/>
      <sheetName val="os"/>
      <sheetName val="no"/>
      <sheetName val="fer"/>
      <sheetName val="is"/>
      <sheetName val="bs"/>
      <sheetName val="not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"/>
    </sheetNames>
    <sheetDataSet>
      <sheetData sheetId="0">
        <row r="2">
          <cell r="K2" t="str">
            <v xml:space="preserve">  1U$=\750</v>
          </cell>
        </row>
        <row r="4">
          <cell r="A4" t="str">
            <v xml:space="preserve">      項     目</v>
          </cell>
          <cell r="D4" t="str">
            <v xml:space="preserve">   算        出        根        據</v>
          </cell>
          <cell r="K4" t="str">
            <v xml:space="preserve">    備    考</v>
          </cell>
        </row>
        <row r="9">
          <cell r="A9">
            <v>0</v>
          </cell>
          <cell r="C9" t="str">
            <v xml:space="preserve">         區     分</v>
          </cell>
          <cell r="D9" t="str">
            <v xml:space="preserve">     分</v>
          </cell>
          <cell r="E9" t="str">
            <v xml:space="preserve"> 單 價</v>
          </cell>
          <cell r="G9" t="str">
            <v>내  역</v>
          </cell>
          <cell r="I9" t="str">
            <v xml:space="preserve">  合  計</v>
          </cell>
        </row>
        <row r="10">
          <cell r="E10" t="str">
            <v xml:space="preserve"> (USD)</v>
          </cell>
          <cell r="F10" t="str">
            <v xml:space="preserve"> 人員</v>
          </cell>
          <cell r="G10" t="str">
            <v xml:space="preserve"> 回數</v>
          </cell>
          <cell r="H10" t="str">
            <v xml:space="preserve"> 日數</v>
          </cell>
          <cell r="I10" t="str">
            <v xml:space="preserve">  (USD)</v>
          </cell>
        </row>
        <row r="11">
          <cell r="A11" t="str">
            <v xml:space="preserve"> 1. TEST WITNESS</v>
          </cell>
          <cell r="C11">
            <v>0</v>
          </cell>
          <cell r="D11" t="str">
            <v xml:space="preserve">   항  공  료</v>
          </cell>
          <cell r="I11">
            <v>0</v>
          </cell>
        </row>
        <row r="12">
          <cell r="C12" t="str">
            <v xml:space="preserve">    韓  國</v>
          </cell>
          <cell r="D12" t="str">
            <v xml:space="preserve">   숙  박  비</v>
          </cell>
          <cell r="I12">
            <v>0</v>
          </cell>
        </row>
        <row r="13">
          <cell r="D13" t="str">
            <v xml:space="preserve">   식      비</v>
          </cell>
          <cell r="I13">
            <v>0</v>
          </cell>
        </row>
        <row r="14">
          <cell r="D14" t="str">
            <v xml:space="preserve">   기      타</v>
          </cell>
          <cell r="I14">
            <v>0</v>
          </cell>
        </row>
        <row r="15">
          <cell r="C15">
            <v>0</v>
          </cell>
          <cell r="I15">
            <v>0</v>
          </cell>
        </row>
        <row r="16">
          <cell r="C16">
            <v>0</v>
          </cell>
          <cell r="D16" t="str">
            <v>TEST WITNESS   計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 xml:space="preserve"> 2. SUPERVISION</v>
          </cell>
          <cell r="C17" t="str">
            <v xml:space="preserve">   RELAY</v>
          </cell>
          <cell r="D17" t="str">
            <v xml:space="preserve">   항  공  료</v>
          </cell>
          <cell r="I17">
            <v>0</v>
          </cell>
        </row>
        <row r="18">
          <cell r="C18">
            <v>0</v>
          </cell>
          <cell r="D18" t="str">
            <v xml:space="preserve">   감  리  비</v>
          </cell>
          <cell r="I18">
            <v>0</v>
          </cell>
        </row>
        <row r="20">
          <cell r="C20">
            <v>0</v>
          </cell>
          <cell r="I20">
            <v>0</v>
          </cell>
        </row>
        <row r="21">
          <cell r="C21" t="str">
            <v xml:space="preserve">            SUPERVISION    計</v>
          </cell>
          <cell r="I21">
            <v>0</v>
          </cell>
        </row>
        <row r="22">
          <cell r="A22" t="str">
            <v xml:space="preserve"> 3. COMPUTER SYSTEM</v>
          </cell>
          <cell r="D22" t="str">
            <v xml:space="preserve">   교  육  비</v>
          </cell>
          <cell r="I22">
            <v>0</v>
          </cell>
        </row>
        <row r="23">
          <cell r="D23" t="str">
            <v xml:space="preserve">  MAINTENANCE</v>
          </cell>
          <cell r="I23">
            <v>0</v>
          </cell>
        </row>
        <row r="24">
          <cell r="D24" t="str">
            <v xml:space="preserve">  SOFTWARE</v>
          </cell>
          <cell r="I24">
            <v>0</v>
          </cell>
        </row>
        <row r="25">
          <cell r="I25">
            <v>0</v>
          </cell>
        </row>
        <row r="26">
          <cell r="C26" t="str">
            <v xml:space="preserve">            COMPUTER SYSTEM 計</v>
          </cell>
          <cell r="I26">
            <v>0</v>
          </cell>
        </row>
        <row r="28">
          <cell r="D28" t="str">
            <v>合      計</v>
          </cell>
          <cell r="I28">
            <v>0</v>
          </cell>
        </row>
        <row r="30">
          <cell r="I30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2014"/>
      <sheetName val="Revenue_2014"/>
      <sheetName val="Revenue_20141"/>
      <sheetName val="Revenue_20142"/>
      <sheetName val="Revenue_20143"/>
      <sheetName val="Revenue_20144"/>
      <sheetName val="Revenue_20145"/>
    </sheetNames>
    <sheetDataSet>
      <sheetData sheetId="0">
        <row r="5">
          <cell r="B5" t="str">
            <v>Contract revenue 2014-Ongoing contracts &amp; WIP</v>
          </cell>
        </row>
      </sheetData>
      <sheetData sheetId="1">
        <row r="5">
          <cell r="B5" t="str">
            <v>Contract revenue 2014-Ongoing contracts &amp; WIP</v>
          </cell>
        </row>
      </sheetData>
      <sheetData sheetId="2">
        <row r="5">
          <cell r="B5" t="str">
            <v>Contract revenue 2014-Ongoing contracts &amp; WIP</v>
          </cell>
        </row>
      </sheetData>
      <sheetData sheetId="3">
        <row r="5">
          <cell r="B5" t="str">
            <v>Contract revenue 2014-Ongoing contracts &amp; WIP</v>
          </cell>
        </row>
      </sheetData>
      <sheetData sheetId="4">
        <row r="5">
          <cell r="B5" t="str">
            <v>Contract revenue 2014-Ongoing contracts &amp; WIP</v>
          </cell>
        </row>
      </sheetData>
      <sheetData sheetId="5">
        <row r="5">
          <cell r="B5" t="str">
            <v>Contract revenue 2014-Ongoing contracts &amp; WIP</v>
          </cell>
        </row>
      </sheetData>
      <sheetData sheetId="6">
        <row r="5">
          <cell r="B5" t="str">
            <v>Contract revenue 2014-Ongoing contracts &amp; WIP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2014"/>
      <sheetName val="Revenue 2015"/>
      <sheetName val="IMEC"/>
      <sheetName val="Revenue_2014"/>
      <sheetName val="Revenue_2015"/>
      <sheetName val="Revenue_20141"/>
      <sheetName val="Revenue_20151"/>
      <sheetName val="Revenue_20142"/>
      <sheetName val="Revenue_20152"/>
      <sheetName val="Revenue_20143"/>
      <sheetName val="Revenue_20153"/>
      <sheetName val="Revenue_20144"/>
      <sheetName val="Revenue_20154"/>
      <sheetName val="Revenue_20145"/>
      <sheetName val="Revenue_20155"/>
    </sheetNames>
    <sheetDataSet>
      <sheetData sheetId="0">
        <row r="8">
          <cell r="N8">
            <v>2673576</v>
          </cell>
        </row>
        <row r="9">
          <cell r="N9">
            <v>27926170.650000006</v>
          </cell>
        </row>
        <row r="10">
          <cell r="N10">
            <v>6909892.8136419002</v>
          </cell>
        </row>
        <row r="11">
          <cell r="N11">
            <v>10777400.229729692</v>
          </cell>
        </row>
        <row r="12">
          <cell r="N12">
            <v>2996675</v>
          </cell>
        </row>
        <row r="13">
          <cell r="N13">
            <v>6731460.2741573025</v>
          </cell>
        </row>
        <row r="14">
          <cell r="N14">
            <v>12748000</v>
          </cell>
        </row>
      </sheetData>
      <sheetData sheetId="1"/>
      <sheetData sheetId="2"/>
      <sheetData sheetId="3">
        <row r="8">
          <cell r="N8">
            <v>2673576</v>
          </cell>
        </row>
      </sheetData>
      <sheetData sheetId="4"/>
      <sheetData sheetId="5">
        <row r="8">
          <cell r="N8">
            <v>2673576</v>
          </cell>
        </row>
      </sheetData>
      <sheetData sheetId="6"/>
      <sheetData sheetId="7">
        <row r="8">
          <cell r="N8">
            <v>2673576</v>
          </cell>
        </row>
      </sheetData>
      <sheetData sheetId="8"/>
      <sheetData sheetId="9">
        <row r="8">
          <cell r="N8">
            <v>2673576</v>
          </cell>
        </row>
      </sheetData>
      <sheetData sheetId="10"/>
      <sheetData sheetId="11">
        <row r="8">
          <cell r="N8">
            <v>2673576</v>
          </cell>
        </row>
      </sheetData>
      <sheetData sheetId="12"/>
      <sheetData sheetId="13">
        <row r="8">
          <cell r="N8">
            <v>2673576</v>
          </cell>
        </row>
      </sheetData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"/>
      <sheetName val="인상효1"/>
      <sheetName val="본사인상전"/>
      <sheetName val="C1"/>
      <sheetName val="seting MP"/>
      <sheetName val="간접"/>
      <sheetName val="SU_S1"/>
      <sheetName val="Sheet1 (2)"/>
      <sheetName val="seting_MP9"/>
      <sheetName val="Sheet1_(2)9"/>
      <sheetName val="seting_MP"/>
      <sheetName val="Sheet1_(2)"/>
      <sheetName val="seting_MP1"/>
      <sheetName val="Sheet1_(2)1"/>
      <sheetName val="seting_MP2"/>
      <sheetName val="Sheet1_(2)2"/>
      <sheetName val="seting_MP3"/>
      <sheetName val="Sheet1_(2)3"/>
      <sheetName val="seting_MP4"/>
      <sheetName val="Sheet1_(2)4"/>
      <sheetName val="seting_MP5"/>
      <sheetName val="Sheet1_(2)5"/>
      <sheetName val="seting_MP6"/>
      <sheetName val="Sheet1_(2)6"/>
      <sheetName val="seting_MP7"/>
      <sheetName val="Sheet1_(2)7"/>
      <sheetName val="seting_MP8"/>
      <sheetName val="Sheet1_(2)8"/>
      <sheetName val="seting_MP17"/>
      <sheetName val="Sheet1_(2)17"/>
      <sheetName val="seting_MP10"/>
      <sheetName val="Sheet1_(2)10"/>
      <sheetName val="seting_MP11"/>
      <sheetName val="Sheet1_(2)11"/>
      <sheetName val="seting_MP12"/>
      <sheetName val="Sheet1_(2)12"/>
      <sheetName val="seting_MP15"/>
      <sheetName val="Sheet1_(2)15"/>
      <sheetName val="seting_MP13"/>
      <sheetName val="Sheet1_(2)13"/>
      <sheetName val="seting_MP14"/>
      <sheetName val="Sheet1_(2)14"/>
      <sheetName val="seting_MP16"/>
      <sheetName val="Sheet1_(2)16"/>
      <sheetName val="seting_MP18"/>
      <sheetName val="Sheet1_(2)18"/>
      <sheetName val="seting_MP19"/>
      <sheetName val="Sheet1_(2)19"/>
      <sheetName val="seting_MP20"/>
      <sheetName val="Sheet1_(2)20"/>
      <sheetName val="seting_MP21"/>
      <sheetName val="Sheet1_(2)21"/>
    </sheetNames>
    <sheetDataSet>
      <sheetData sheetId="0" refreshError="1">
        <row r="2">
          <cell r="K2" t="str">
            <v xml:space="preserve">  1U$=\750</v>
          </cell>
        </row>
        <row r="4">
          <cell r="A4" t="str">
            <v xml:space="preserve">      項     目</v>
          </cell>
          <cell r="D4" t="str">
            <v xml:space="preserve">   算        出        根        據</v>
          </cell>
          <cell r="K4" t="str">
            <v xml:space="preserve">    備    考</v>
          </cell>
        </row>
        <row r="9">
          <cell r="A9">
            <v>0</v>
          </cell>
          <cell r="C9" t="str">
            <v xml:space="preserve">         區     分</v>
          </cell>
          <cell r="D9" t="str">
            <v xml:space="preserve">     分</v>
          </cell>
          <cell r="E9" t="str">
            <v xml:space="preserve"> 單 價</v>
          </cell>
          <cell r="G9" t="str">
            <v>내  역</v>
          </cell>
          <cell r="I9" t="str">
            <v xml:space="preserve">  合  計</v>
          </cell>
        </row>
        <row r="10">
          <cell r="E10" t="str">
            <v xml:space="preserve"> (USD)</v>
          </cell>
          <cell r="F10" t="str">
            <v xml:space="preserve"> 人員</v>
          </cell>
          <cell r="G10" t="str">
            <v xml:space="preserve"> 回數</v>
          </cell>
          <cell r="H10" t="str">
            <v xml:space="preserve"> 日數</v>
          </cell>
          <cell r="I10" t="str">
            <v xml:space="preserve">  (USD)</v>
          </cell>
        </row>
        <row r="11">
          <cell r="A11" t="str">
            <v xml:space="preserve"> 1. TEST WITNESS</v>
          </cell>
          <cell r="C11">
            <v>0</v>
          </cell>
          <cell r="D11" t="str">
            <v xml:space="preserve">   항  공  료</v>
          </cell>
          <cell r="I11">
            <v>0</v>
          </cell>
        </row>
        <row r="12">
          <cell r="C12" t="str">
            <v xml:space="preserve">    韓  國</v>
          </cell>
          <cell r="D12" t="str">
            <v xml:space="preserve">   숙  박  비</v>
          </cell>
          <cell r="I12">
            <v>0</v>
          </cell>
        </row>
        <row r="13">
          <cell r="D13" t="str">
            <v xml:space="preserve">   식      비</v>
          </cell>
          <cell r="I13">
            <v>0</v>
          </cell>
        </row>
        <row r="14">
          <cell r="D14" t="str">
            <v xml:space="preserve">   기      타</v>
          </cell>
          <cell r="I14">
            <v>0</v>
          </cell>
        </row>
        <row r="15">
          <cell r="C15">
            <v>0</v>
          </cell>
          <cell r="I15">
            <v>0</v>
          </cell>
        </row>
        <row r="16">
          <cell r="C16">
            <v>0</v>
          </cell>
          <cell r="D16" t="str">
            <v>TEST WITNESS   計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 xml:space="preserve"> 2. SUPERVISION</v>
          </cell>
          <cell r="C17" t="str">
            <v xml:space="preserve">   RELAY</v>
          </cell>
          <cell r="D17" t="str">
            <v xml:space="preserve">   항  공  료</v>
          </cell>
          <cell r="I17">
            <v>0</v>
          </cell>
        </row>
        <row r="18">
          <cell r="C18">
            <v>0</v>
          </cell>
          <cell r="D18" t="str">
            <v xml:space="preserve">   감  리  비</v>
          </cell>
          <cell r="I18">
            <v>0</v>
          </cell>
        </row>
        <row r="20">
          <cell r="C20">
            <v>0</v>
          </cell>
          <cell r="I20">
            <v>0</v>
          </cell>
        </row>
        <row r="21">
          <cell r="C21" t="str">
            <v xml:space="preserve">            SUPERVISION    計</v>
          </cell>
          <cell r="I21">
            <v>0</v>
          </cell>
        </row>
        <row r="22">
          <cell r="A22" t="str">
            <v xml:space="preserve"> 3. COMPUTER SYSTEM</v>
          </cell>
          <cell r="D22" t="str">
            <v xml:space="preserve">   교  육  비</v>
          </cell>
          <cell r="I22">
            <v>0</v>
          </cell>
        </row>
        <row r="23">
          <cell r="D23" t="str">
            <v xml:space="preserve">  MAINTENANCE</v>
          </cell>
          <cell r="I23">
            <v>0</v>
          </cell>
        </row>
        <row r="24">
          <cell r="D24" t="str">
            <v xml:space="preserve">  SOFTWARE</v>
          </cell>
          <cell r="I24">
            <v>0</v>
          </cell>
        </row>
        <row r="25">
          <cell r="I25">
            <v>0</v>
          </cell>
        </row>
        <row r="26">
          <cell r="C26" t="str">
            <v xml:space="preserve">            COMPUTER SYSTEM 計</v>
          </cell>
          <cell r="I26">
            <v>0</v>
          </cell>
        </row>
        <row r="28">
          <cell r="D28" t="str">
            <v>合      計</v>
          </cell>
          <cell r="I28">
            <v>0</v>
          </cell>
        </row>
        <row r="30">
          <cell r="I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view="pageBreakPreview" zoomScaleNormal="100" zoomScaleSheetLayoutView="100" workbookViewId="0">
      <selection activeCell="O6" sqref="O6"/>
    </sheetView>
  </sheetViews>
  <sheetFormatPr defaultRowHeight="13.5" x14ac:dyDescent="0.3"/>
  <cols>
    <col min="1" max="1" width="13.26953125" style="5" customWidth="1"/>
    <col min="2" max="2" width="3" style="5" customWidth="1"/>
    <col min="3" max="3" width="4.81640625" style="5" customWidth="1"/>
    <col min="4" max="4" width="1.81640625" style="5" customWidth="1"/>
    <col min="5" max="5" width="3" style="5" customWidth="1"/>
    <col min="6" max="6" width="11.7265625" style="5" customWidth="1"/>
    <col min="7" max="7" width="1" style="5" customWidth="1"/>
    <col min="8" max="8" width="13.81640625" style="5" customWidth="1"/>
    <col min="9" max="9" width="0.453125" style="5" customWidth="1"/>
    <col min="10" max="10" width="13" style="32" customWidth="1"/>
    <col min="11" max="11" width="10.453125" style="5" customWidth="1"/>
    <col min="12" max="12" width="13.54296875" style="5" customWidth="1"/>
    <col min="13" max="13" width="4.54296875" style="5" customWidth="1"/>
    <col min="14" max="250" width="9.1796875" style="5"/>
    <col min="251" max="251" width="0.7265625" style="5" customWidth="1"/>
    <col min="252" max="252" width="5.26953125" style="5" customWidth="1"/>
    <col min="253" max="253" width="16.81640625" style="5" customWidth="1"/>
    <col min="254" max="254" width="3" style="5" customWidth="1"/>
    <col min="255" max="255" width="9.7265625" style="5" customWidth="1"/>
    <col min="256" max="256" width="0" style="5" hidden="1" customWidth="1"/>
    <col min="257" max="257" width="3" style="5" customWidth="1"/>
    <col min="258" max="258" width="21" style="5" customWidth="1"/>
    <col min="259" max="259" width="4.453125" style="5" customWidth="1"/>
    <col min="260" max="260" width="22" style="5" customWidth="1"/>
    <col min="261" max="261" width="11.7265625" style="5" customWidth="1"/>
    <col min="262" max="262" width="14" style="5" customWidth="1"/>
    <col min="263" max="263" width="17" style="5" customWidth="1"/>
    <col min="264" max="264" width="15.54296875" style="5" customWidth="1"/>
    <col min="265" max="265" width="1.81640625" style="5" customWidth="1"/>
    <col min="266" max="266" width="0.54296875" style="5" customWidth="1"/>
    <col min="267" max="506" width="9.1796875" style="5"/>
    <col min="507" max="507" width="0.7265625" style="5" customWidth="1"/>
    <col min="508" max="508" width="5.26953125" style="5" customWidth="1"/>
    <col min="509" max="509" width="16.81640625" style="5" customWidth="1"/>
    <col min="510" max="510" width="3" style="5" customWidth="1"/>
    <col min="511" max="511" width="9.7265625" style="5" customWidth="1"/>
    <col min="512" max="512" width="0" style="5" hidden="1" customWidth="1"/>
    <col min="513" max="513" width="3" style="5" customWidth="1"/>
    <col min="514" max="514" width="21" style="5" customWidth="1"/>
    <col min="515" max="515" width="4.453125" style="5" customWidth="1"/>
    <col min="516" max="516" width="22" style="5" customWidth="1"/>
    <col min="517" max="517" width="11.7265625" style="5" customWidth="1"/>
    <col min="518" max="518" width="14" style="5" customWidth="1"/>
    <col min="519" max="519" width="17" style="5" customWidth="1"/>
    <col min="520" max="520" width="15.54296875" style="5" customWidth="1"/>
    <col min="521" max="521" width="1.81640625" style="5" customWidth="1"/>
    <col min="522" max="522" width="0.54296875" style="5" customWidth="1"/>
    <col min="523" max="762" width="9.1796875" style="5"/>
    <col min="763" max="763" width="0.7265625" style="5" customWidth="1"/>
    <col min="764" max="764" width="5.26953125" style="5" customWidth="1"/>
    <col min="765" max="765" width="16.81640625" style="5" customWidth="1"/>
    <col min="766" max="766" width="3" style="5" customWidth="1"/>
    <col min="767" max="767" width="9.7265625" style="5" customWidth="1"/>
    <col min="768" max="768" width="0" style="5" hidden="1" customWidth="1"/>
    <col min="769" max="769" width="3" style="5" customWidth="1"/>
    <col min="770" max="770" width="21" style="5" customWidth="1"/>
    <col min="771" max="771" width="4.453125" style="5" customWidth="1"/>
    <col min="772" max="772" width="22" style="5" customWidth="1"/>
    <col min="773" max="773" width="11.7265625" style="5" customWidth="1"/>
    <col min="774" max="774" width="14" style="5" customWidth="1"/>
    <col min="775" max="775" width="17" style="5" customWidth="1"/>
    <col min="776" max="776" width="15.54296875" style="5" customWidth="1"/>
    <col min="777" max="777" width="1.81640625" style="5" customWidth="1"/>
    <col min="778" max="778" width="0.54296875" style="5" customWidth="1"/>
    <col min="779" max="1018" width="9.1796875" style="5"/>
    <col min="1019" max="1019" width="0.7265625" style="5" customWidth="1"/>
    <col min="1020" max="1020" width="5.26953125" style="5" customWidth="1"/>
    <col min="1021" max="1021" width="16.81640625" style="5" customWidth="1"/>
    <col min="1022" max="1022" width="3" style="5" customWidth="1"/>
    <col min="1023" max="1023" width="9.7265625" style="5" customWidth="1"/>
    <col min="1024" max="1024" width="0" style="5" hidden="1" customWidth="1"/>
    <col min="1025" max="1025" width="3" style="5" customWidth="1"/>
    <col min="1026" max="1026" width="21" style="5" customWidth="1"/>
    <col min="1027" max="1027" width="4.453125" style="5" customWidth="1"/>
    <col min="1028" max="1028" width="22" style="5" customWidth="1"/>
    <col min="1029" max="1029" width="11.7265625" style="5" customWidth="1"/>
    <col min="1030" max="1030" width="14" style="5" customWidth="1"/>
    <col min="1031" max="1031" width="17" style="5" customWidth="1"/>
    <col min="1032" max="1032" width="15.54296875" style="5" customWidth="1"/>
    <col min="1033" max="1033" width="1.81640625" style="5" customWidth="1"/>
    <col min="1034" max="1034" width="0.54296875" style="5" customWidth="1"/>
    <col min="1035" max="1274" width="9.1796875" style="5"/>
    <col min="1275" max="1275" width="0.7265625" style="5" customWidth="1"/>
    <col min="1276" max="1276" width="5.26953125" style="5" customWidth="1"/>
    <col min="1277" max="1277" width="16.81640625" style="5" customWidth="1"/>
    <col min="1278" max="1278" width="3" style="5" customWidth="1"/>
    <col min="1279" max="1279" width="9.7265625" style="5" customWidth="1"/>
    <col min="1280" max="1280" width="0" style="5" hidden="1" customWidth="1"/>
    <col min="1281" max="1281" width="3" style="5" customWidth="1"/>
    <col min="1282" max="1282" width="21" style="5" customWidth="1"/>
    <col min="1283" max="1283" width="4.453125" style="5" customWidth="1"/>
    <col min="1284" max="1284" width="22" style="5" customWidth="1"/>
    <col min="1285" max="1285" width="11.7265625" style="5" customWidth="1"/>
    <col min="1286" max="1286" width="14" style="5" customWidth="1"/>
    <col min="1287" max="1287" width="17" style="5" customWidth="1"/>
    <col min="1288" max="1288" width="15.54296875" style="5" customWidth="1"/>
    <col min="1289" max="1289" width="1.81640625" style="5" customWidth="1"/>
    <col min="1290" max="1290" width="0.54296875" style="5" customWidth="1"/>
    <col min="1291" max="1530" width="9.1796875" style="5"/>
    <col min="1531" max="1531" width="0.7265625" style="5" customWidth="1"/>
    <col min="1532" max="1532" width="5.26953125" style="5" customWidth="1"/>
    <col min="1533" max="1533" width="16.81640625" style="5" customWidth="1"/>
    <col min="1534" max="1534" width="3" style="5" customWidth="1"/>
    <col min="1535" max="1535" width="9.7265625" style="5" customWidth="1"/>
    <col min="1536" max="1536" width="0" style="5" hidden="1" customWidth="1"/>
    <col min="1537" max="1537" width="3" style="5" customWidth="1"/>
    <col min="1538" max="1538" width="21" style="5" customWidth="1"/>
    <col min="1539" max="1539" width="4.453125" style="5" customWidth="1"/>
    <col min="1540" max="1540" width="22" style="5" customWidth="1"/>
    <col min="1541" max="1541" width="11.7265625" style="5" customWidth="1"/>
    <col min="1542" max="1542" width="14" style="5" customWidth="1"/>
    <col min="1543" max="1543" width="17" style="5" customWidth="1"/>
    <col min="1544" max="1544" width="15.54296875" style="5" customWidth="1"/>
    <col min="1545" max="1545" width="1.81640625" style="5" customWidth="1"/>
    <col min="1546" max="1546" width="0.54296875" style="5" customWidth="1"/>
    <col min="1547" max="1786" width="9.1796875" style="5"/>
    <col min="1787" max="1787" width="0.7265625" style="5" customWidth="1"/>
    <col min="1788" max="1788" width="5.26953125" style="5" customWidth="1"/>
    <col min="1789" max="1789" width="16.81640625" style="5" customWidth="1"/>
    <col min="1790" max="1790" width="3" style="5" customWidth="1"/>
    <col min="1791" max="1791" width="9.7265625" style="5" customWidth="1"/>
    <col min="1792" max="1792" width="0" style="5" hidden="1" customWidth="1"/>
    <col min="1793" max="1793" width="3" style="5" customWidth="1"/>
    <col min="1794" max="1794" width="21" style="5" customWidth="1"/>
    <col min="1795" max="1795" width="4.453125" style="5" customWidth="1"/>
    <col min="1796" max="1796" width="22" style="5" customWidth="1"/>
    <col min="1797" max="1797" width="11.7265625" style="5" customWidth="1"/>
    <col min="1798" max="1798" width="14" style="5" customWidth="1"/>
    <col min="1799" max="1799" width="17" style="5" customWidth="1"/>
    <col min="1800" max="1800" width="15.54296875" style="5" customWidth="1"/>
    <col min="1801" max="1801" width="1.81640625" style="5" customWidth="1"/>
    <col min="1802" max="1802" width="0.54296875" style="5" customWidth="1"/>
    <col min="1803" max="2042" width="9.1796875" style="5"/>
    <col min="2043" max="2043" width="0.7265625" style="5" customWidth="1"/>
    <col min="2044" max="2044" width="5.26953125" style="5" customWidth="1"/>
    <col min="2045" max="2045" width="16.81640625" style="5" customWidth="1"/>
    <col min="2046" max="2046" width="3" style="5" customWidth="1"/>
    <col min="2047" max="2047" width="9.7265625" style="5" customWidth="1"/>
    <col min="2048" max="2048" width="0" style="5" hidden="1" customWidth="1"/>
    <col min="2049" max="2049" width="3" style="5" customWidth="1"/>
    <col min="2050" max="2050" width="21" style="5" customWidth="1"/>
    <col min="2051" max="2051" width="4.453125" style="5" customWidth="1"/>
    <col min="2052" max="2052" width="22" style="5" customWidth="1"/>
    <col min="2053" max="2053" width="11.7265625" style="5" customWidth="1"/>
    <col min="2054" max="2054" width="14" style="5" customWidth="1"/>
    <col min="2055" max="2055" width="17" style="5" customWidth="1"/>
    <col min="2056" max="2056" width="15.54296875" style="5" customWidth="1"/>
    <col min="2057" max="2057" width="1.81640625" style="5" customWidth="1"/>
    <col min="2058" max="2058" width="0.54296875" style="5" customWidth="1"/>
    <col min="2059" max="2298" width="9.1796875" style="5"/>
    <col min="2299" max="2299" width="0.7265625" style="5" customWidth="1"/>
    <col min="2300" max="2300" width="5.26953125" style="5" customWidth="1"/>
    <col min="2301" max="2301" width="16.81640625" style="5" customWidth="1"/>
    <col min="2302" max="2302" width="3" style="5" customWidth="1"/>
    <col min="2303" max="2303" width="9.7265625" style="5" customWidth="1"/>
    <col min="2304" max="2304" width="0" style="5" hidden="1" customWidth="1"/>
    <col min="2305" max="2305" width="3" style="5" customWidth="1"/>
    <col min="2306" max="2306" width="21" style="5" customWidth="1"/>
    <col min="2307" max="2307" width="4.453125" style="5" customWidth="1"/>
    <col min="2308" max="2308" width="22" style="5" customWidth="1"/>
    <col min="2309" max="2309" width="11.7265625" style="5" customWidth="1"/>
    <col min="2310" max="2310" width="14" style="5" customWidth="1"/>
    <col min="2311" max="2311" width="17" style="5" customWidth="1"/>
    <col min="2312" max="2312" width="15.54296875" style="5" customWidth="1"/>
    <col min="2313" max="2313" width="1.81640625" style="5" customWidth="1"/>
    <col min="2314" max="2314" width="0.54296875" style="5" customWidth="1"/>
    <col min="2315" max="2554" width="9.1796875" style="5"/>
    <col min="2555" max="2555" width="0.7265625" style="5" customWidth="1"/>
    <col min="2556" max="2556" width="5.26953125" style="5" customWidth="1"/>
    <col min="2557" max="2557" width="16.81640625" style="5" customWidth="1"/>
    <col min="2558" max="2558" width="3" style="5" customWidth="1"/>
    <col min="2559" max="2559" width="9.7265625" style="5" customWidth="1"/>
    <col min="2560" max="2560" width="0" style="5" hidden="1" customWidth="1"/>
    <col min="2561" max="2561" width="3" style="5" customWidth="1"/>
    <col min="2562" max="2562" width="21" style="5" customWidth="1"/>
    <col min="2563" max="2563" width="4.453125" style="5" customWidth="1"/>
    <col min="2564" max="2564" width="22" style="5" customWidth="1"/>
    <col min="2565" max="2565" width="11.7265625" style="5" customWidth="1"/>
    <col min="2566" max="2566" width="14" style="5" customWidth="1"/>
    <col min="2567" max="2567" width="17" style="5" customWidth="1"/>
    <col min="2568" max="2568" width="15.54296875" style="5" customWidth="1"/>
    <col min="2569" max="2569" width="1.81640625" style="5" customWidth="1"/>
    <col min="2570" max="2570" width="0.54296875" style="5" customWidth="1"/>
    <col min="2571" max="2810" width="9.1796875" style="5"/>
    <col min="2811" max="2811" width="0.7265625" style="5" customWidth="1"/>
    <col min="2812" max="2812" width="5.26953125" style="5" customWidth="1"/>
    <col min="2813" max="2813" width="16.81640625" style="5" customWidth="1"/>
    <col min="2814" max="2814" width="3" style="5" customWidth="1"/>
    <col min="2815" max="2815" width="9.7265625" style="5" customWidth="1"/>
    <col min="2816" max="2816" width="0" style="5" hidden="1" customWidth="1"/>
    <col min="2817" max="2817" width="3" style="5" customWidth="1"/>
    <col min="2818" max="2818" width="21" style="5" customWidth="1"/>
    <col min="2819" max="2819" width="4.453125" style="5" customWidth="1"/>
    <col min="2820" max="2820" width="22" style="5" customWidth="1"/>
    <col min="2821" max="2821" width="11.7265625" style="5" customWidth="1"/>
    <col min="2822" max="2822" width="14" style="5" customWidth="1"/>
    <col min="2823" max="2823" width="17" style="5" customWidth="1"/>
    <col min="2824" max="2824" width="15.54296875" style="5" customWidth="1"/>
    <col min="2825" max="2825" width="1.81640625" style="5" customWidth="1"/>
    <col min="2826" max="2826" width="0.54296875" style="5" customWidth="1"/>
    <col min="2827" max="3066" width="9.1796875" style="5"/>
    <col min="3067" max="3067" width="0.7265625" style="5" customWidth="1"/>
    <col min="3068" max="3068" width="5.26953125" style="5" customWidth="1"/>
    <col min="3069" max="3069" width="16.81640625" style="5" customWidth="1"/>
    <col min="3070" max="3070" width="3" style="5" customWidth="1"/>
    <col min="3071" max="3071" width="9.7265625" style="5" customWidth="1"/>
    <col min="3072" max="3072" width="0" style="5" hidden="1" customWidth="1"/>
    <col min="3073" max="3073" width="3" style="5" customWidth="1"/>
    <col min="3074" max="3074" width="21" style="5" customWidth="1"/>
    <col min="3075" max="3075" width="4.453125" style="5" customWidth="1"/>
    <col min="3076" max="3076" width="22" style="5" customWidth="1"/>
    <col min="3077" max="3077" width="11.7265625" style="5" customWidth="1"/>
    <col min="3078" max="3078" width="14" style="5" customWidth="1"/>
    <col min="3079" max="3079" width="17" style="5" customWidth="1"/>
    <col min="3080" max="3080" width="15.54296875" style="5" customWidth="1"/>
    <col min="3081" max="3081" width="1.81640625" style="5" customWidth="1"/>
    <col min="3082" max="3082" width="0.54296875" style="5" customWidth="1"/>
    <col min="3083" max="3322" width="9.1796875" style="5"/>
    <col min="3323" max="3323" width="0.7265625" style="5" customWidth="1"/>
    <col min="3324" max="3324" width="5.26953125" style="5" customWidth="1"/>
    <col min="3325" max="3325" width="16.81640625" style="5" customWidth="1"/>
    <col min="3326" max="3326" width="3" style="5" customWidth="1"/>
    <col min="3327" max="3327" width="9.7265625" style="5" customWidth="1"/>
    <col min="3328" max="3328" width="0" style="5" hidden="1" customWidth="1"/>
    <col min="3329" max="3329" width="3" style="5" customWidth="1"/>
    <col min="3330" max="3330" width="21" style="5" customWidth="1"/>
    <col min="3331" max="3331" width="4.453125" style="5" customWidth="1"/>
    <col min="3332" max="3332" width="22" style="5" customWidth="1"/>
    <col min="3333" max="3333" width="11.7265625" style="5" customWidth="1"/>
    <col min="3334" max="3334" width="14" style="5" customWidth="1"/>
    <col min="3335" max="3335" width="17" style="5" customWidth="1"/>
    <col min="3336" max="3336" width="15.54296875" style="5" customWidth="1"/>
    <col min="3337" max="3337" width="1.81640625" style="5" customWidth="1"/>
    <col min="3338" max="3338" width="0.54296875" style="5" customWidth="1"/>
    <col min="3339" max="3578" width="9.1796875" style="5"/>
    <col min="3579" max="3579" width="0.7265625" style="5" customWidth="1"/>
    <col min="3580" max="3580" width="5.26953125" style="5" customWidth="1"/>
    <col min="3581" max="3581" width="16.81640625" style="5" customWidth="1"/>
    <col min="3582" max="3582" width="3" style="5" customWidth="1"/>
    <col min="3583" max="3583" width="9.7265625" style="5" customWidth="1"/>
    <col min="3584" max="3584" width="0" style="5" hidden="1" customWidth="1"/>
    <col min="3585" max="3585" width="3" style="5" customWidth="1"/>
    <col min="3586" max="3586" width="21" style="5" customWidth="1"/>
    <col min="3587" max="3587" width="4.453125" style="5" customWidth="1"/>
    <col min="3588" max="3588" width="22" style="5" customWidth="1"/>
    <col min="3589" max="3589" width="11.7265625" style="5" customWidth="1"/>
    <col min="3590" max="3590" width="14" style="5" customWidth="1"/>
    <col min="3591" max="3591" width="17" style="5" customWidth="1"/>
    <col min="3592" max="3592" width="15.54296875" style="5" customWidth="1"/>
    <col min="3593" max="3593" width="1.81640625" style="5" customWidth="1"/>
    <col min="3594" max="3594" width="0.54296875" style="5" customWidth="1"/>
    <col min="3595" max="3834" width="9.1796875" style="5"/>
    <col min="3835" max="3835" width="0.7265625" style="5" customWidth="1"/>
    <col min="3836" max="3836" width="5.26953125" style="5" customWidth="1"/>
    <col min="3837" max="3837" width="16.81640625" style="5" customWidth="1"/>
    <col min="3838" max="3838" width="3" style="5" customWidth="1"/>
    <col min="3839" max="3839" width="9.7265625" style="5" customWidth="1"/>
    <col min="3840" max="3840" width="0" style="5" hidden="1" customWidth="1"/>
    <col min="3841" max="3841" width="3" style="5" customWidth="1"/>
    <col min="3842" max="3842" width="21" style="5" customWidth="1"/>
    <col min="3843" max="3843" width="4.453125" style="5" customWidth="1"/>
    <col min="3844" max="3844" width="22" style="5" customWidth="1"/>
    <col min="3845" max="3845" width="11.7265625" style="5" customWidth="1"/>
    <col min="3846" max="3846" width="14" style="5" customWidth="1"/>
    <col min="3847" max="3847" width="17" style="5" customWidth="1"/>
    <col min="3848" max="3848" width="15.54296875" style="5" customWidth="1"/>
    <col min="3849" max="3849" width="1.81640625" style="5" customWidth="1"/>
    <col min="3850" max="3850" width="0.54296875" style="5" customWidth="1"/>
    <col min="3851" max="4090" width="9.1796875" style="5"/>
    <col min="4091" max="4091" width="0.7265625" style="5" customWidth="1"/>
    <col min="4092" max="4092" width="5.26953125" style="5" customWidth="1"/>
    <col min="4093" max="4093" width="16.81640625" style="5" customWidth="1"/>
    <col min="4094" max="4094" width="3" style="5" customWidth="1"/>
    <col min="4095" max="4095" width="9.7265625" style="5" customWidth="1"/>
    <col min="4096" max="4096" width="0" style="5" hidden="1" customWidth="1"/>
    <col min="4097" max="4097" width="3" style="5" customWidth="1"/>
    <col min="4098" max="4098" width="21" style="5" customWidth="1"/>
    <col min="4099" max="4099" width="4.453125" style="5" customWidth="1"/>
    <col min="4100" max="4100" width="22" style="5" customWidth="1"/>
    <col min="4101" max="4101" width="11.7265625" style="5" customWidth="1"/>
    <col min="4102" max="4102" width="14" style="5" customWidth="1"/>
    <col min="4103" max="4103" width="17" style="5" customWidth="1"/>
    <col min="4104" max="4104" width="15.54296875" style="5" customWidth="1"/>
    <col min="4105" max="4105" width="1.81640625" style="5" customWidth="1"/>
    <col min="4106" max="4106" width="0.54296875" style="5" customWidth="1"/>
    <col min="4107" max="4346" width="9.1796875" style="5"/>
    <col min="4347" max="4347" width="0.7265625" style="5" customWidth="1"/>
    <col min="4348" max="4348" width="5.26953125" style="5" customWidth="1"/>
    <col min="4349" max="4349" width="16.81640625" style="5" customWidth="1"/>
    <col min="4350" max="4350" width="3" style="5" customWidth="1"/>
    <col min="4351" max="4351" width="9.7265625" style="5" customWidth="1"/>
    <col min="4352" max="4352" width="0" style="5" hidden="1" customWidth="1"/>
    <col min="4353" max="4353" width="3" style="5" customWidth="1"/>
    <col min="4354" max="4354" width="21" style="5" customWidth="1"/>
    <col min="4355" max="4355" width="4.453125" style="5" customWidth="1"/>
    <col min="4356" max="4356" width="22" style="5" customWidth="1"/>
    <col min="4357" max="4357" width="11.7265625" style="5" customWidth="1"/>
    <col min="4358" max="4358" width="14" style="5" customWidth="1"/>
    <col min="4359" max="4359" width="17" style="5" customWidth="1"/>
    <col min="4360" max="4360" width="15.54296875" style="5" customWidth="1"/>
    <col min="4361" max="4361" width="1.81640625" style="5" customWidth="1"/>
    <col min="4362" max="4362" width="0.54296875" style="5" customWidth="1"/>
    <col min="4363" max="4602" width="9.1796875" style="5"/>
    <col min="4603" max="4603" width="0.7265625" style="5" customWidth="1"/>
    <col min="4604" max="4604" width="5.26953125" style="5" customWidth="1"/>
    <col min="4605" max="4605" width="16.81640625" style="5" customWidth="1"/>
    <col min="4606" max="4606" width="3" style="5" customWidth="1"/>
    <col min="4607" max="4607" width="9.7265625" style="5" customWidth="1"/>
    <col min="4608" max="4608" width="0" style="5" hidden="1" customWidth="1"/>
    <col min="4609" max="4609" width="3" style="5" customWidth="1"/>
    <col min="4610" max="4610" width="21" style="5" customWidth="1"/>
    <col min="4611" max="4611" width="4.453125" style="5" customWidth="1"/>
    <col min="4612" max="4612" width="22" style="5" customWidth="1"/>
    <col min="4613" max="4613" width="11.7265625" style="5" customWidth="1"/>
    <col min="4614" max="4614" width="14" style="5" customWidth="1"/>
    <col min="4615" max="4615" width="17" style="5" customWidth="1"/>
    <col min="4616" max="4616" width="15.54296875" style="5" customWidth="1"/>
    <col min="4617" max="4617" width="1.81640625" style="5" customWidth="1"/>
    <col min="4618" max="4618" width="0.54296875" style="5" customWidth="1"/>
    <col min="4619" max="4858" width="9.1796875" style="5"/>
    <col min="4859" max="4859" width="0.7265625" style="5" customWidth="1"/>
    <col min="4860" max="4860" width="5.26953125" style="5" customWidth="1"/>
    <col min="4861" max="4861" width="16.81640625" style="5" customWidth="1"/>
    <col min="4862" max="4862" width="3" style="5" customWidth="1"/>
    <col min="4863" max="4863" width="9.7265625" style="5" customWidth="1"/>
    <col min="4864" max="4864" width="0" style="5" hidden="1" customWidth="1"/>
    <col min="4865" max="4865" width="3" style="5" customWidth="1"/>
    <col min="4866" max="4866" width="21" style="5" customWidth="1"/>
    <col min="4867" max="4867" width="4.453125" style="5" customWidth="1"/>
    <col min="4868" max="4868" width="22" style="5" customWidth="1"/>
    <col min="4869" max="4869" width="11.7265625" style="5" customWidth="1"/>
    <col min="4870" max="4870" width="14" style="5" customWidth="1"/>
    <col min="4871" max="4871" width="17" style="5" customWidth="1"/>
    <col min="4872" max="4872" width="15.54296875" style="5" customWidth="1"/>
    <col min="4873" max="4873" width="1.81640625" style="5" customWidth="1"/>
    <col min="4874" max="4874" width="0.54296875" style="5" customWidth="1"/>
    <col min="4875" max="5114" width="9.1796875" style="5"/>
    <col min="5115" max="5115" width="0.7265625" style="5" customWidth="1"/>
    <col min="5116" max="5116" width="5.26953125" style="5" customWidth="1"/>
    <col min="5117" max="5117" width="16.81640625" style="5" customWidth="1"/>
    <col min="5118" max="5118" width="3" style="5" customWidth="1"/>
    <col min="5119" max="5119" width="9.7265625" style="5" customWidth="1"/>
    <col min="5120" max="5120" width="0" style="5" hidden="1" customWidth="1"/>
    <col min="5121" max="5121" width="3" style="5" customWidth="1"/>
    <col min="5122" max="5122" width="21" style="5" customWidth="1"/>
    <col min="5123" max="5123" width="4.453125" style="5" customWidth="1"/>
    <col min="5124" max="5124" width="22" style="5" customWidth="1"/>
    <col min="5125" max="5125" width="11.7265625" style="5" customWidth="1"/>
    <col min="5126" max="5126" width="14" style="5" customWidth="1"/>
    <col min="5127" max="5127" width="17" style="5" customWidth="1"/>
    <col min="5128" max="5128" width="15.54296875" style="5" customWidth="1"/>
    <col min="5129" max="5129" width="1.81640625" style="5" customWidth="1"/>
    <col min="5130" max="5130" width="0.54296875" style="5" customWidth="1"/>
    <col min="5131" max="5370" width="9.1796875" style="5"/>
    <col min="5371" max="5371" width="0.7265625" style="5" customWidth="1"/>
    <col min="5372" max="5372" width="5.26953125" style="5" customWidth="1"/>
    <col min="5373" max="5373" width="16.81640625" style="5" customWidth="1"/>
    <col min="5374" max="5374" width="3" style="5" customWidth="1"/>
    <col min="5375" max="5375" width="9.7265625" style="5" customWidth="1"/>
    <col min="5376" max="5376" width="0" style="5" hidden="1" customWidth="1"/>
    <col min="5377" max="5377" width="3" style="5" customWidth="1"/>
    <col min="5378" max="5378" width="21" style="5" customWidth="1"/>
    <col min="5379" max="5379" width="4.453125" style="5" customWidth="1"/>
    <col min="5380" max="5380" width="22" style="5" customWidth="1"/>
    <col min="5381" max="5381" width="11.7265625" style="5" customWidth="1"/>
    <col min="5382" max="5382" width="14" style="5" customWidth="1"/>
    <col min="5383" max="5383" width="17" style="5" customWidth="1"/>
    <col min="5384" max="5384" width="15.54296875" style="5" customWidth="1"/>
    <col min="5385" max="5385" width="1.81640625" style="5" customWidth="1"/>
    <col min="5386" max="5386" width="0.54296875" style="5" customWidth="1"/>
    <col min="5387" max="5626" width="9.1796875" style="5"/>
    <col min="5627" max="5627" width="0.7265625" style="5" customWidth="1"/>
    <col min="5628" max="5628" width="5.26953125" style="5" customWidth="1"/>
    <col min="5629" max="5629" width="16.81640625" style="5" customWidth="1"/>
    <col min="5630" max="5630" width="3" style="5" customWidth="1"/>
    <col min="5631" max="5631" width="9.7265625" style="5" customWidth="1"/>
    <col min="5632" max="5632" width="0" style="5" hidden="1" customWidth="1"/>
    <col min="5633" max="5633" width="3" style="5" customWidth="1"/>
    <col min="5634" max="5634" width="21" style="5" customWidth="1"/>
    <col min="5635" max="5635" width="4.453125" style="5" customWidth="1"/>
    <col min="5636" max="5636" width="22" style="5" customWidth="1"/>
    <col min="5637" max="5637" width="11.7265625" style="5" customWidth="1"/>
    <col min="5638" max="5638" width="14" style="5" customWidth="1"/>
    <col min="5639" max="5639" width="17" style="5" customWidth="1"/>
    <col min="5640" max="5640" width="15.54296875" style="5" customWidth="1"/>
    <col min="5641" max="5641" width="1.81640625" style="5" customWidth="1"/>
    <col min="5642" max="5642" width="0.54296875" style="5" customWidth="1"/>
    <col min="5643" max="5882" width="9.1796875" style="5"/>
    <col min="5883" max="5883" width="0.7265625" style="5" customWidth="1"/>
    <col min="5884" max="5884" width="5.26953125" style="5" customWidth="1"/>
    <col min="5885" max="5885" width="16.81640625" style="5" customWidth="1"/>
    <col min="5886" max="5886" width="3" style="5" customWidth="1"/>
    <col min="5887" max="5887" width="9.7265625" style="5" customWidth="1"/>
    <col min="5888" max="5888" width="0" style="5" hidden="1" customWidth="1"/>
    <col min="5889" max="5889" width="3" style="5" customWidth="1"/>
    <col min="5890" max="5890" width="21" style="5" customWidth="1"/>
    <col min="5891" max="5891" width="4.453125" style="5" customWidth="1"/>
    <col min="5892" max="5892" width="22" style="5" customWidth="1"/>
    <col min="5893" max="5893" width="11.7265625" style="5" customWidth="1"/>
    <col min="5894" max="5894" width="14" style="5" customWidth="1"/>
    <col min="5895" max="5895" width="17" style="5" customWidth="1"/>
    <col min="5896" max="5896" width="15.54296875" style="5" customWidth="1"/>
    <col min="5897" max="5897" width="1.81640625" style="5" customWidth="1"/>
    <col min="5898" max="5898" width="0.54296875" style="5" customWidth="1"/>
    <col min="5899" max="6138" width="9.1796875" style="5"/>
    <col min="6139" max="6139" width="0.7265625" style="5" customWidth="1"/>
    <col min="6140" max="6140" width="5.26953125" style="5" customWidth="1"/>
    <col min="6141" max="6141" width="16.81640625" style="5" customWidth="1"/>
    <col min="6142" max="6142" width="3" style="5" customWidth="1"/>
    <col min="6143" max="6143" width="9.7265625" style="5" customWidth="1"/>
    <col min="6144" max="6144" width="0" style="5" hidden="1" customWidth="1"/>
    <col min="6145" max="6145" width="3" style="5" customWidth="1"/>
    <col min="6146" max="6146" width="21" style="5" customWidth="1"/>
    <col min="6147" max="6147" width="4.453125" style="5" customWidth="1"/>
    <col min="6148" max="6148" width="22" style="5" customWidth="1"/>
    <col min="6149" max="6149" width="11.7265625" style="5" customWidth="1"/>
    <col min="6150" max="6150" width="14" style="5" customWidth="1"/>
    <col min="6151" max="6151" width="17" style="5" customWidth="1"/>
    <col min="6152" max="6152" width="15.54296875" style="5" customWidth="1"/>
    <col min="6153" max="6153" width="1.81640625" style="5" customWidth="1"/>
    <col min="6154" max="6154" width="0.54296875" style="5" customWidth="1"/>
    <col min="6155" max="6394" width="9.1796875" style="5"/>
    <col min="6395" max="6395" width="0.7265625" style="5" customWidth="1"/>
    <col min="6396" max="6396" width="5.26953125" style="5" customWidth="1"/>
    <col min="6397" max="6397" width="16.81640625" style="5" customWidth="1"/>
    <col min="6398" max="6398" width="3" style="5" customWidth="1"/>
    <col min="6399" max="6399" width="9.7265625" style="5" customWidth="1"/>
    <col min="6400" max="6400" width="0" style="5" hidden="1" customWidth="1"/>
    <col min="6401" max="6401" width="3" style="5" customWidth="1"/>
    <col min="6402" max="6402" width="21" style="5" customWidth="1"/>
    <col min="6403" max="6403" width="4.453125" style="5" customWidth="1"/>
    <col min="6404" max="6404" width="22" style="5" customWidth="1"/>
    <col min="6405" max="6405" width="11.7265625" style="5" customWidth="1"/>
    <col min="6406" max="6406" width="14" style="5" customWidth="1"/>
    <col min="6407" max="6407" width="17" style="5" customWidth="1"/>
    <col min="6408" max="6408" width="15.54296875" style="5" customWidth="1"/>
    <col min="6409" max="6409" width="1.81640625" style="5" customWidth="1"/>
    <col min="6410" max="6410" width="0.54296875" style="5" customWidth="1"/>
    <col min="6411" max="6650" width="9.1796875" style="5"/>
    <col min="6651" max="6651" width="0.7265625" style="5" customWidth="1"/>
    <col min="6652" max="6652" width="5.26953125" style="5" customWidth="1"/>
    <col min="6653" max="6653" width="16.81640625" style="5" customWidth="1"/>
    <col min="6654" max="6654" width="3" style="5" customWidth="1"/>
    <col min="6655" max="6655" width="9.7265625" style="5" customWidth="1"/>
    <col min="6656" max="6656" width="0" style="5" hidden="1" customWidth="1"/>
    <col min="6657" max="6657" width="3" style="5" customWidth="1"/>
    <col min="6658" max="6658" width="21" style="5" customWidth="1"/>
    <col min="6659" max="6659" width="4.453125" style="5" customWidth="1"/>
    <col min="6660" max="6660" width="22" style="5" customWidth="1"/>
    <col min="6661" max="6661" width="11.7265625" style="5" customWidth="1"/>
    <col min="6662" max="6662" width="14" style="5" customWidth="1"/>
    <col min="6663" max="6663" width="17" style="5" customWidth="1"/>
    <col min="6664" max="6664" width="15.54296875" style="5" customWidth="1"/>
    <col min="6665" max="6665" width="1.81640625" style="5" customWidth="1"/>
    <col min="6666" max="6666" width="0.54296875" style="5" customWidth="1"/>
    <col min="6667" max="6906" width="9.1796875" style="5"/>
    <col min="6907" max="6907" width="0.7265625" style="5" customWidth="1"/>
    <col min="6908" max="6908" width="5.26953125" style="5" customWidth="1"/>
    <col min="6909" max="6909" width="16.81640625" style="5" customWidth="1"/>
    <col min="6910" max="6910" width="3" style="5" customWidth="1"/>
    <col min="6911" max="6911" width="9.7265625" style="5" customWidth="1"/>
    <col min="6912" max="6912" width="0" style="5" hidden="1" customWidth="1"/>
    <col min="6913" max="6913" width="3" style="5" customWidth="1"/>
    <col min="6914" max="6914" width="21" style="5" customWidth="1"/>
    <col min="6915" max="6915" width="4.453125" style="5" customWidth="1"/>
    <col min="6916" max="6916" width="22" style="5" customWidth="1"/>
    <col min="6917" max="6917" width="11.7265625" style="5" customWidth="1"/>
    <col min="6918" max="6918" width="14" style="5" customWidth="1"/>
    <col min="6919" max="6919" width="17" style="5" customWidth="1"/>
    <col min="6920" max="6920" width="15.54296875" style="5" customWidth="1"/>
    <col min="6921" max="6921" width="1.81640625" style="5" customWidth="1"/>
    <col min="6922" max="6922" width="0.54296875" style="5" customWidth="1"/>
    <col min="6923" max="7162" width="9.1796875" style="5"/>
    <col min="7163" max="7163" width="0.7265625" style="5" customWidth="1"/>
    <col min="7164" max="7164" width="5.26953125" style="5" customWidth="1"/>
    <col min="7165" max="7165" width="16.81640625" style="5" customWidth="1"/>
    <col min="7166" max="7166" width="3" style="5" customWidth="1"/>
    <col min="7167" max="7167" width="9.7265625" style="5" customWidth="1"/>
    <col min="7168" max="7168" width="0" style="5" hidden="1" customWidth="1"/>
    <col min="7169" max="7169" width="3" style="5" customWidth="1"/>
    <col min="7170" max="7170" width="21" style="5" customWidth="1"/>
    <col min="7171" max="7171" width="4.453125" style="5" customWidth="1"/>
    <col min="7172" max="7172" width="22" style="5" customWidth="1"/>
    <col min="7173" max="7173" width="11.7265625" style="5" customWidth="1"/>
    <col min="7174" max="7174" width="14" style="5" customWidth="1"/>
    <col min="7175" max="7175" width="17" style="5" customWidth="1"/>
    <col min="7176" max="7176" width="15.54296875" style="5" customWidth="1"/>
    <col min="7177" max="7177" width="1.81640625" style="5" customWidth="1"/>
    <col min="7178" max="7178" width="0.54296875" style="5" customWidth="1"/>
    <col min="7179" max="7418" width="9.1796875" style="5"/>
    <col min="7419" max="7419" width="0.7265625" style="5" customWidth="1"/>
    <col min="7420" max="7420" width="5.26953125" style="5" customWidth="1"/>
    <col min="7421" max="7421" width="16.81640625" style="5" customWidth="1"/>
    <col min="7422" max="7422" width="3" style="5" customWidth="1"/>
    <col min="7423" max="7423" width="9.7265625" style="5" customWidth="1"/>
    <col min="7424" max="7424" width="0" style="5" hidden="1" customWidth="1"/>
    <col min="7425" max="7425" width="3" style="5" customWidth="1"/>
    <col min="7426" max="7426" width="21" style="5" customWidth="1"/>
    <col min="7427" max="7427" width="4.453125" style="5" customWidth="1"/>
    <col min="7428" max="7428" width="22" style="5" customWidth="1"/>
    <col min="7429" max="7429" width="11.7265625" style="5" customWidth="1"/>
    <col min="7430" max="7430" width="14" style="5" customWidth="1"/>
    <col min="7431" max="7431" width="17" style="5" customWidth="1"/>
    <col min="7432" max="7432" width="15.54296875" style="5" customWidth="1"/>
    <col min="7433" max="7433" width="1.81640625" style="5" customWidth="1"/>
    <col min="7434" max="7434" width="0.54296875" style="5" customWidth="1"/>
    <col min="7435" max="7674" width="9.1796875" style="5"/>
    <col min="7675" max="7675" width="0.7265625" style="5" customWidth="1"/>
    <col min="7676" max="7676" width="5.26953125" style="5" customWidth="1"/>
    <col min="7677" max="7677" width="16.81640625" style="5" customWidth="1"/>
    <col min="7678" max="7678" width="3" style="5" customWidth="1"/>
    <col min="7679" max="7679" width="9.7265625" style="5" customWidth="1"/>
    <col min="7680" max="7680" width="0" style="5" hidden="1" customWidth="1"/>
    <col min="7681" max="7681" width="3" style="5" customWidth="1"/>
    <col min="7682" max="7682" width="21" style="5" customWidth="1"/>
    <col min="7683" max="7683" width="4.453125" style="5" customWidth="1"/>
    <col min="7684" max="7684" width="22" style="5" customWidth="1"/>
    <col min="7685" max="7685" width="11.7265625" style="5" customWidth="1"/>
    <col min="7686" max="7686" width="14" style="5" customWidth="1"/>
    <col min="7687" max="7687" width="17" style="5" customWidth="1"/>
    <col min="7688" max="7688" width="15.54296875" style="5" customWidth="1"/>
    <col min="7689" max="7689" width="1.81640625" style="5" customWidth="1"/>
    <col min="7690" max="7690" width="0.54296875" style="5" customWidth="1"/>
    <col min="7691" max="7930" width="9.1796875" style="5"/>
    <col min="7931" max="7931" width="0.7265625" style="5" customWidth="1"/>
    <col min="7932" max="7932" width="5.26953125" style="5" customWidth="1"/>
    <col min="7933" max="7933" width="16.81640625" style="5" customWidth="1"/>
    <col min="7934" max="7934" width="3" style="5" customWidth="1"/>
    <col min="7935" max="7935" width="9.7265625" style="5" customWidth="1"/>
    <col min="7936" max="7936" width="0" style="5" hidden="1" customWidth="1"/>
    <col min="7937" max="7937" width="3" style="5" customWidth="1"/>
    <col min="7938" max="7938" width="21" style="5" customWidth="1"/>
    <col min="7939" max="7939" width="4.453125" style="5" customWidth="1"/>
    <col min="7940" max="7940" width="22" style="5" customWidth="1"/>
    <col min="7941" max="7941" width="11.7265625" style="5" customWidth="1"/>
    <col min="7942" max="7942" width="14" style="5" customWidth="1"/>
    <col min="7943" max="7943" width="17" style="5" customWidth="1"/>
    <col min="7944" max="7944" width="15.54296875" style="5" customWidth="1"/>
    <col min="7945" max="7945" width="1.81640625" style="5" customWidth="1"/>
    <col min="7946" max="7946" width="0.54296875" style="5" customWidth="1"/>
    <col min="7947" max="8186" width="9.1796875" style="5"/>
    <col min="8187" max="8187" width="0.7265625" style="5" customWidth="1"/>
    <col min="8188" max="8188" width="5.26953125" style="5" customWidth="1"/>
    <col min="8189" max="8189" width="16.81640625" style="5" customWidth="1"/>
    <col min="8190" max="8190" width="3" style="5" customWidth="1"/>
    <col min="8191" max="8191" width="9.7265625" style="5" customWidth="1"/>
    <col min="8192" max="8192" width="0" style="5" hidden="1" customWidth="1"/>
    <col min="8193" max="8193" width="3" style="5" customWidth="1"/>
    <col min="8194" max="8194" width="21" style="5" customWidth="1"/>
    <col min="8195" max="8195" width="4.453125" style="5" customWidth="1"/>
    <col min="8196" max="8196" width="22" style="5" customWidth="1"/>
    <col min="8197" max="8197" width="11.7265625" style="5" customWidth="1"/>
    <col min="8198" max="8198" width="14" style="5" customWidth="1"/>
    <col min="8199" max="8199" width="17" style="5" customWidth="1"/>
    <col min="8200" max="8200" width="15.54296875" style="5" customWidth="1"/>
    <col min="8201" max="8201" width="1.81640625" style="5" customWidth="1"/>
    <col min="8202" max="8202" width="0.54296875" style="5" customWidth="1"/>
    <col min="8203" max="8442" width="9.1796875" style="5"/>
    <col min="8443" max="8443" width="0.7265625" style="5" customWidth="1"/>
    <col min="8444" max="8444" width="5.26953125" style="5" customWidth="1"/>
    <col min="8445" max="8445" width="16.81640625" style="5" customWidth="1"/>
    <col min="8446" max="8446" width="3" style="5" customWidth="1"/>
    <col min="8447" max="8447" width="9.7265625" style="5" customWidth="1"/>
    <col min="8448" max="8448" width="0" style="5" hidden="1" customWidth="1"/>
    <col min="8449" max="8449" width="3" style="5" customWidth="1"/>
    <col min="8450" max="8450" width="21" style="5" customWidth="1"/>
    <col min="8451" max="8451" width="4.453125" style="5" customWidth="1"/>
    <col min="8452" max="8452" width="22" style="5" customWidth="1"/>
    <col min="8453" max="8453" width="11.7265625" style="5" customWidth="1"/>
    <col min="8454" max="8454" width="14" style="5" customWidth="1"/>
    <col min="8455" max="8455" width="17" style="5" customWidth="1"/>
    <col min="8456" max="8456" width="15.54296875" style="5" customWidth="1"/>
    <col min="8457" max="8457" width="1.81640625" style="5" customWidth="1"/>
    <col min="8458" max="8458" width="0.54296875" style="5" customWidth="1"/>
    <col min="8459" max="8698" width="9.1796875" style="5"/>
    <col min="8699" max="8699" width="0.7265625" style="5" customWidth="1"/>
    <col min="8700" max="8700" width="5.26953125" style="5" customWidth="1"/>
    <col min="8701" max="8701" width="16.81640625" style="5" customWidth="1"/>
    <col min="8702" max="8702" width="3" style="5" customWidth="1"/>
    <col min="8703" max="8703" width="9.7265625" style="5" customWidth="1"/>
    <col min="8704" max="8704" width="0" style="5" hidden="1" customWidth="1"/>
    <col min="8705" max="8705" width="3" style="5" customWidth="1"/>
    <col min="8706" max="8706" width="21" style="5" customWidth="1"/>
    <col min="8707" max="8707" width="4.453125" style="5" customWidth="1"/>
    <col min="8708" max="8708" width="22" style="5" customWidth="1"/>
    <col min="8709" max="8709" width="11.7265625" style="5" customWidth="1"/>
    <col min="8710" max="8710" width="14" style="5" customWidth="1"/>
    <col min="8711" max="8711" width="17" style="5" customWidth="1"/>
    <col min="8712" max="8712" width="15.54296875" style="5" customWidth="1"/>
    <col min="8713" max="8713" width="1.81640625" style="5" customWidth="1"/>
    <col min="8714" max="8714" width="0.54296875" style="5" customWidth="1"/>
    <col min="8715" max="8954" width="9.1796875" style="5"/>
    <col min="8955" max="8955" width="0.7265625" style="5" customWidth="1"/>
    <col min="8956" max="8956" width="5.26953125" style="5" customWidth="1"/>
    <col min="8957" max="8957" width="16.81640625" style="5" customWidth="1"/>
    <col min="8958" max="8958" width="3" style="5" customWidth="1"/>
    <col min="8959" max="8959" width="9.7265625" style="5" customWidth="1"/>
    <col min="8960" max="8960" width="0" style="5" hidden="1" customWidth="1"/>
    <col min="8961" max="8961" width="3" style="5" customWidth="1"/>
    <col min="8962" max="8962" width="21" style="5" customWidth="1"/>
    <col min="8963" max="8963" width="4.453125" style="5" customWidth="1"/>
    <col min="8964" max="8964" width="22" style="5" customWidth="1"/>
    <col min="8965" max="8965" width="11.7265625" style="5" customWidth="1"/>
    <col min="8966" max="8966" width="14" style="5" customWidth="1"/>
    <col min="8967" max="8967" width="17" style="5" customWidth="1"/>
    <col min="8968" max="8968" width="15.54296875" style="5" customWidth="1"/>
    <col min="8969" max="8969" width="1.81640625" style="5" customWidth="1"/>
    <col min="8970" max="8970" width="0.54296875" style="5" customWidth="1"/>
    <col min="8971" max="9210" width="9.1796875" style="5"/>
    <col min="9211" max="9211" width="0.7265625" style="5" customWidth="1"/>
    <col min="9212" max="9212" width="5.26953125" style="5" customWidth="1"/>
    <col min="9213" max="9213" width="16.81640625" style="5" customWidth="1"/>
    <col min="9214" max="9214" width="3" style="5" customWidth="1"/>
    <col min="9215" max="9215" width="9.7265625" style="5" customWidth="1"/>
    <col min="9216" max="9216" width="0" style="5" hidden="1" customWidth="1"/>
    <col min="9217" max="9217" width="3" style="5" customWidth="1"/>
    <col min="9218" max="9218" width="21" style="5" customWidth="1"/>
    <col min="9219" max="9219" width="4.453125" style="5" customWidth="1"/>
    <col min="9220" max="9220" width="22" style="5" customWidth="1"/>
    <col min="9221" max="9221" width="11.7265625" style="5" customWidth="1"/>
    <col min="9222" max="9222" width="14" style="5" customWidth="1"/>
    <col min="9223" max="9223" width="17" style="5" customWidth="1"/>
    <col min="9224" max="9224" width="15.54296875" style="5" customWidth="1"/>
    <col min="9225" max="9225" width="1.81640625" style="5" customWidth="1"/>
    <col min="9226" max="9226" width="0.54296875" style="5" customWidth="1"/>
    <col min="9227" max="9466" width="9.1796875" style="5"/>
    <col min="9467" max="9467" width="0.7265625" style="5" customWidth="1"/>
    <col min="9468" max="9468" width="5.26953125" style="5" customWidth="1"/>
    <col min="9469" max="9469" width="16.81640625" style="5" customWidth="1"/>
    <col min="9470" max="9470" width="3" style="5" customWidth="1"/>
    <col min="9471" max="9471" width="9.7265625" style="5" customWidth="1"/>
    <col min="9472" max="9472" width="0" style="5" hidden="1" customWidth="1"/>
    <col min="9473" max="9473" width="3" style="5" customWidth="1"/>
    <col min="9474" max="9474" width="21" style="5" customWidth="1"/>
    <col min="9475" max="9475" width="4.453125" style="5" customWidth="1"/>
    <col min="9476" max="9476" width="22" style="5" customWidth="1"/>
    <col min="9477" max="9477" width="11.7265625" style="5" customWidth="1"/>
    <col min="9478" max="9478" width="14" style="5" customWidth="1"/>
    <col min="9479" max="9479" width="17" style="5" customWidth="1"/>
    <col min="9480" max="9480" width="15.54296875" style="5" customWidth="1"/>
    <col min="9481" max="9481" width="1.81640625" style="5" customWidth="1"/>
    <col min="9482" max="9482" width="0.54296875" style="5" customWidth="1"/>
    <col min="9483" max="9722" width="9.1796875" style="5"/>
    <col min="9723" max="9723" width="0.7265625" style="5" customWidth="1"/>
    <col min="9724" max="9724" width="5.26953125" style="5" customWidth="1"/>
    <col min="9725" max="9725" width="16.81640625" style="5" customWidth="1"/>
    <col min="9726" max="9726" width="3" style="5" customWidth="1"/>
    <col min="9727" max="9727" width="9.7265625" style="5" customWidth="1"/>
    <col min="9728" max="9728" width="0" style="5" hidden="1" customWidth="1"/>
    <col min="9729" max="9729" width="3" style="5" customWidth="1"/>
    <col min="9730" max="9730" width="21" style="5" customWidth="1"/>
    <col min="9731" max="9731" width="4.453125" style="5" customWidth="1"/>
    <col min="9732" max="9732" width="22" style="5" customWidth="1"/>
    <col min="9733" max="9733" width="11.7265625" style="5" customWidth="1"/>
    <col min="9734" max="9734" width="14" style="5" customWidth="1"/>
    <col min="9735" max="9735" width="17" style="5" customWidth="1"/>
    <col min="9736" max="9736" width="15.54296875" style="5" customWidth="1"/>
    <col min="9737" max="9737" width="1.81640625" style="5" customWidth="1"/>
    <col min="9738" max="9738" width="0.54296875" style="5" customWidth="1"/>
    <col min="9739" max="9978" width="9.1796875" style="5"/>
    <col min="9979" max="9979" width="0.7265625" style="5" customWidth="1"/>
    <col min="9980" max="9980" width="5.26953125" style="5" customWidth="1"/>
    <col min="9981" max="9981" width="16.81640625" style="5" customWidth="1"/>
    <col min="9982" max="9982" width="3" style="5" customWidth="1"/>
    <col min="9983" max="9983" width="9.7265625" style="5" customWidth="1"/>
    <col min="9984" max="9984" width="0" style="5" hidden="1" customWidth="1"/>
    <col min="9985" max="9985" width="3" style="5" customWidth="1"/>
    <col min="9986" max="9986" width="21" style="5" customWidth="1"/>
    <col min="9987" max="9987" width="4.453125" style="5" customWidth="1"/>
    <col min="9988" max="9988" width="22" style="5" customWidth="1"/>
    <col min="9989" max="9989" width="11.7265625" style="5" customWidth="1"/>
    <col min="9990" max="9990" width="14" style="5" customWidth="1"/>
    <col min="9991" max="9991" width="17" style="5" customWidth="1"/>
    <col min="9992" max="9992" width="15.54296875" style="5" customWidth="1"/>
    <col min="9993" max="9993" width="1.81640625" style="5" customWidth="1"/>
    <col min="9994" max="9994" width="0.54296875" style="5" customWidth="1"/>
    <col min="9995" max="10234" width="9.1796875" style="5"/>
    <col min="10235" max="10235" width="0.7265625" style="5" customWidth="1"/>
    <col min="10236" max="10236" width="5.26953125" style="5" customWidth="1"/>
    <col min="10237" max="10237" width="16.81640625" style="5" customWidth="1"/>
    <col min="10238" max="10238" width="3" style="5" customWidth="1"/>
    <col min="10239" max="10239" width="9.7265625" style="5" customWidth="1"/>
    <col min="10240" max="10240" width="0" style="5" hidden="1" customWidth="1"/>
    <col min="10241" max="10241" width="3" style="5" customWidth="1"/>
    <col min="10242" max="10242" width="21" style="5" customWidth="1"/>
    <col min="10243" max="10243" width="4.453125" style="5" customWidth="1"/>
    <col min="10244" max="10244" width="22" style="5" customWidth="1"/>
    <col min="10245" max="10245" width="11.7265625" style="5" customWidth="1"/>
    <col min="10246" max="10246" width="14" style="5" customWidth="1"/>
    <col min="10247" max="10247" width="17" style="5" customWidth="1"/>
    <col min="10248" max="10248" width="15.54296875" style="5" customWidth="1"/>
    <col min="10249" max="10249" width="1.81640625" style="5" customWidth="1"/>
    <col min="10250" max="10250" width="0.54296875" style="5" customWidth="1"/>
    <col min="10251" max="10490" width="9.1796875" style="5"/>
    <col min="10491" max="10491" width="0.7265625" style="5" customWidth="1"/>
    <col min="10492" max="10492" width="5.26953125" style="5" customWidth="1"/>
    <col min="10493" max="10493" width="16.81640625" style="5" customWidth="1"/>
    <col min="10494" max="10494" width="3" style="5" customWidth="1"/>
    <col min="10495" max="10495" width="9.7265625" style="5" customWidth="1"/>
    <col min="10496" max="10496" width="0" style="5" hidden="1" customWidth="1"/>
    <col min="10497" max="10497" width="3" style="5" customWidth="1"/>
    <col min="10498" max="10498" width="21" style="5" customWidth="1"/>
    <col min="10499" max="10499" width="4.453125" style="5" customWidth="1"/>
    <col min="10500" max="10500" width="22" style="5" customWidth="1"/>
    <col min="10501" max="10501" width="11.7265625" style="5" customWidth="1"/>
    <col min="10502" max="10502" width="14" style="5" customWidth="1"/>
    <col min="10503" max="10503" width="17" style="5" customWidth="1"/>
    <col min="10504" max="10504" width="15.54296875" style="5" customWidth="1"/>
    <col min="10505" max="10505" width="1.81640625" style="5" customWidth="1"/>
    <col min="10506" max="10506" width="0.54296875" style="5" customWidth="1"/>
    <col min="10507" max="10746" width="9.1796875" style="5"/>
    <col min="10747" max="10747" width="0.7265625" style="5" customWidth="1"/>
    <col min="10748" max="10748" width="5.26953125" style="5" customWidth="1"/>
    <col min="10749" max="10749" width="16.81640625" style="5" customWidth="1"/>
    <col min="10750" max="10750" width="3" style="5" customWidth="1"/>
    <col min="10751" max="10751" width="9.7265625" style="5" customWidth="1"/>
    <col min="10752" max="10752" width="0" style="5" hidden="1" customWidth="1"/>
    <col min="10753" max="10753" width="3" style="5" customWidth="1"/>
    <col min="10754" max="10754" width="21" style="5" customWidth="1"/>
    <col min="10755" max="10755" width="4.453125" style="5" customWidth="1"/>
    <col min="10756" max="10756" width="22" style="5" customWidth="1"/>
    <col min="10757" max="10757" width="11.7265625" style="5" customWidth="1"/>
    <col min="10758" max="10758" width="14" style="5" customWidth="1"/>
    <col min="10759" max="10759" width="17" style="5" customWidth="1"/>
    <col min="10760" max="10760" width="15.54296875" style="5" customWidth="1"/>
    <col min="10761" max="10761" width="1.81640625" style="5" customWidth="1"/>
    <col min="10762" max="10762" width="0.54296875" style="5" customWidth="1"/>
    <col min="10763" max="11002" width="9.1796875" style="5"/>
    <col min="11003" max="11003" width="0.7265625" style="5" customWidth="1"/>
    <col min="11004" max="11004" width="5.26953125" style="5" customWidth="1"/>
    <col min="11005" max="11005" width="16.81640625" style="5" customWidth="1"/>
    <col min="11006" max="11006" width="3" style="5" customWidth="1"/>
    <col min="11007" max="11007" width="9.7265625" style="5" customWidth="1"/>
    <col min="11008" max="11008" width="0" style="5" hidden="1" customWidth="1"/>
    <col min="11009" max="11009" width="3" style="5" customWidth="1"/>
    <col min="11010" max="11010" width="21" style="5" customWidth="1"/>
    <col min="11011" max="11011" width="4.453125" style="5" customWidth="1"/>
    <col min="11012" max="11012" width="22" style="5" customWidth="1"/>
    <col min="11013" max="11013" width="11.7265625" style="5" customWidth="1"/>
    <col min="11014" max="11014" width="14" style="5" customWidth="1"/>
    <col min="11015" max="11015" width="17" style="5" customWidth="1"/>
    <col min="11016" max="11016" width="15.54296875" style="5" customWidth="1"/>
    <col min="11017" max="11017" width="1.81640625" style="5" customWidth="1"/>
    <col min="11018" max="11018" width="0.54296875" style="5" customWidth="1"/>
    <col min="11019" max="11258" width="9.1796875" style="5"/>
    <col min="11259" max="11259" width="0.7265625" style="5" customWidth="1"/>
    <col min="11260" max="11260" width="5.26953125" style="5" customWidth="1"/>
    <col min="11261" max="11261" width="16.81640625" style="5" customWidth="1"/>
    <col min="11262" max="11262" width="3" style="5" customWidth="1"/>
    <col min="11263" max="11263" width="9.7265625" style="5" customWidth="1"/>
    <col min="11264" max="11264" width="0" style="5" hidden="1" customWidth="1"/>
    <col min="11265" max="11265" width="3" style="5" customWidth="1"/>
    <col min="11266" max="11266" width="21" style="5" customWidth="1"/>
    <col min="11267" max="11267" width="4.453125" style="5" customWidth="1"/>
    <col min="11268" max="11268" width="22" style="5" customWidth="1"/>
    <col min="11269" max="11269" width="11.7265625" style="5" customWidth="1"/>
    <col min="11270" max="11270" width="14" style="5" customWidth="1"/>
    <col min="11271" max="11271" width="17" style="5" customWidth="1"/>
    <col min="11272" max="11272" width="15.54296875" style="5" customWidth="1"/>
    <col min="11273" max="11273" width="1.81640625" style="5" customWidth="1"/>
    <col min="11274" max="11274" width="0.54296875" style="5" customWidth="1"/>
    <col min="11275" max="11514" width="9.1796875" style="5"/>
    <col min="11515" max="11515" width="0.7265625" style="5" customWidth="1"/>
    <col min="11516" max="11516" width="5.26953125" style="5" customWidth="1"/>
    <col min="11517" max="11517" width="16.81640625" style="5" customWidth="1"/>
    <col min="11518" max="11518" width="3" style="5" customWidth="1"/>
    <col min="11519" max="11519" width="9.7265625" style="5" customWidth="1"/>
    <col min="11520" max="11520" width="0" style="5" hidden="1" customWidth="1"/>
    <col min="11521" max="11521" width="3" style="5" customWidth="1"/>
    <col min="11522" max="11522" width="21" style="5" customWidth="1"/>
    <col min="11523" max="11523" width="4.453125" style="5" customWidth="1"/>
    <col min="11524" max="11524" width="22" style="5" customWidth="1"/>
    <col min="11525" max="11525" width="11.7265625" style="5" customWidth="1"/>
    <col min="11526" max="11526" width="14" style="5" customWidth="1"/>
    <col min="11527" max="11527" width="17" style="5" customWidth="1"/>
    <col min="11528" max="11528" width="15.54296875" style="5" customWidth="1"/>
    <col min="11529" max="11529" width="1.81640625" style="5" customWidth="1"/>
    <col min="11530" max="11530" width="0.54296875" style="5" customWidth="1"/>
    <col min="11531" max="11770" width="9.1796875" style="5"/>
    <col min="11771" max="11771" width="0.7265625" style="5" customWidth="1"/>
    <col min="11772" max="11772" width="5.26953125" style="5" customWidth="1"/>
    <col min="11773" max="11773" width="16.81640625" style="5" customWidth="1"/>
    <col min="11774" max="11774" width="3" style="5" customWidth="1"/>
    <col min="11775" max="11775" width="9.7265625" style="5" customWidth="1"/>
    <col min="11776" max="11776" width="0" style="5" hidden="1" customWidth="1"/>
    <col min="11777" max="11777" width="3" style="5" customWidth="1"/>
    <col min="11778" max="11778" width="21" style="5" customWidth="1"/>
    <col min="11779" max="11779" width="4.453125" style="5" customWidth="1"/>
    <col min="11780" max="11780" width="22" style="5" customWidth="1"/>
    <col min="11781" max="11781" width="11.7265625" style="5" customWidth="1"/>
    <col min="11782" max="11782" width="14" style="5" customWidth="1"/>
    <col min="11783" max="11783" width="17" style="5" customWidth="1"/>
    <col min="11784" max="11784" width="15.54296875" style="5" customWidth="1"/>
    <col min="11785" max="11785" width="1.81640625" style="5" customWidth="1"/>
    <col min="11786" max="11786" width="0.54296875" style="5" customWidth="1"/>
    <col min="11787" max="12026" width="9.1796875" style="5"/>
    <col min="12027" max="12027" width="0.7265625" style="5" customWidth="1"/>
    <col min="12028" max="12028" width="5.26953125" style="5" customWidth="1"/>
    <col min="12029" max="12029" width="16.81640625" style="5" customWidth="1"/>
    <col min="12030" max="12030" width="3" style="5" customWidth="1"/>
    <col min="12031" max="12031" width="9.7265625" style="5" customWidth="1"/>
    <col min="12032" max="12032" width="0" style="5" hidden="1" customWidth="1"/>
    <col min="12033" max="12033" width="3" style="5" customWidth="1"/>
    <col min="12034" max="12034" width="21" style="5" customWidth="1"/>
    <col min="12035" max="12035" width="4.453125" style="5" customWidth="1"/>
    <col min="12036" max="12036" width="22" style="5" customWidth="1"/>
    <col min="12037" max="12037" width="11.7265625" style="5" customWidth="1"/>
    <col min="12038" max="12038" width="14" style="5" customWidth="1"/>
    <col min="12039" max="12039" width="17" style="5" customWidth="1"/>
    <col min="12040" max="12040" width="15.54296875" style="5" customWidth="1"/>
    <col min="12041" max="12041" width="1.81640625" style="5" customWidth="1"/>
    <col min="12042" max="12042" width="0.54296875" style="5" customWidth="1"/>
    <col min="12043" max="12282" width="9.1796875" style="5"/>
    <col min="12283" max="12283" width="0.7265625" style="5" customWidth="1"/>
    <col min="12284" max="12284" width="5.26953125" style="5" customWidth="1"/>
    <col min="12285" max="12285" width="16.81640625" style="5" customWidth="1"/>
    <col min="12286" max="12286" width="3" style="5" customWidth="1"/>
    <col min="12287" max="12287" width="9.7265625" style="5" customWidth="1"/>
    <col min="12288" max="12288" width="0" style="5" hidden="1" customWidth="1"/>
    <col min="12289" max="12289" width="3" style="5" customWidth="1"/>
    <col min="12290" max="12290" width="21" style="5" customWidth="1"/>
    <col min="12291" max="12291" width="4.453125" style="5" customWidth="1"/>
    <col min="12292" max="12292" width="22" style="5" customWidth="1"/>
    <col min="12293" max="12293" width="11.7265625" style="5" customWidth="1"/>
    <col min="12294" max="12294" width="14" style="5" customWidth="1"/>
    <col min="12295" max="12295" width="17" style="5" customWidth="1"/>
    <col min="12296" max="12296" width="15.54296875" style="5" customWidth="1"/>
    <col min="12297" max="12297" width="1.81640625" style="5" customWidth="1"/>
    <col min="12298" max="12298" width="0.54296875" style="5" customWidth="1"/>
    <col min="12299" max="12538" width="9.1796875" style="5"/>
    <col min="12539" max="12539" width="0.7265625" style="5" customWidth="1"/>
    <col min="12540" max="12540" width="5.26953125" style="5" customWidth="1"/>
    <col min="12541" max="12541" width="16.81640625" style="5" customWidth="1"/>
    <col min="12542" max="12542" width="3" style="5" customWidth="1"/>
    <col min="12543" max="12543" width="9.7265625" style="5" customWidth="1"/>
    <col min="12544" max="12544" width="0" style="5" hidden="1" customWidth="1"/>
    <col min="12545" max="12545" width="3" style="5" customWidth="1"/>
    <col min="12546" max="12546" width="21" style="5" customWidth="1"/>
    <col min="12547" max="12547" width="4.453125" style="5" customWidth="1"/>
    <col min="12548" max="12548" width="22" style="5" customWidth="1"/>
    <col min="12549" max="12549" width="11.7265625" style="5" customWidth="1"/>
    <col min="12550" max="12550" width="14" style="5" customWidth="1"/>
    <col min="12551" max="12551" width="17" style="5" customWidth="1"/>
    <col min="12552" max="12552" width="15.54296875" style="5" customWidth="1"/>
    <col min="12553" max="12553" width="1.81640625" style="5" customWidth="1"/>
    <col min="12554" max="12554" width="0.54296875" style="5" customWidth="1"/>
    <col min="12555" max="12794" width="9.1796875" style="5"/>
    <col min="12795" max="12795" width="0.7265625" style="5" customWidth="1"/>
    <col min="12796" max="12796" width="5.26953125" style="5" customWidth="1"/>
    <col min="12797" max="12797" width="16.81640625" style="5" customWidth="1"/>
    <col min="12798" max="12798" width="3" style="5" customWidth="1"/>
    <col min="12799" max="12799" width="9.7265625" style="5" customWidth="1"/>
    <col min="12800" max="12800" width="0" style="5" hidden="1" customWidth="1"/>
    <col min="12801" max="12801" width="3" style="5" customWidth="1"/>
    <col min="12802" max="12802" width="21" style="5" customWidth="1"/>
    <col min="12803" max="12803" width="4.453125" style="5" customWidth="1"/>
    <col min="12804" max="12804" width="22" style="5" customWidth="1"/>
    <col min="12805" max="12805" width="11.7265625" style="5" customWidth="1"/>
    <col min="12806" max="12806" width="14" style="5" customWidth="1"/>
    <col min="12807" max="12807" width="17" style="5" customWidth="1"/>
    <col min="12808" max="12808" width="15.54296875" style="5" customWidth="1"/>
    <col min="12809" max="12809" width="1.81640625" style="5" customWidth="1"/>
    <col min="12810" max="12810" width="0.54296875" style="5" customWidth="1"/>
    <col min="12811" max="13050" width="9.1796875" style="5"/>
    <col min="13051" max="13051" width="0.7265625" style="5" customWidth="1"/>
    <col min="13052" max="13052" width="5.26953125" style="5" customWidth="1"/>
    <col min="13053" max="13053" width="16.81640625" style="5" customWidth="1"/>
    <col min="13054" max="13054" width="3" style="5" customWidth="1"/>
    <col min="13055" max="13055" width="9.7265625" style="5" customWidth="1"/>
    <col min="13056" max="13056" width="0" style="5" hidden="1" customWidth="1"/>
    <col min="13057" max="13057" width="3" style="5" customWidth="1"/>
    <col min="13058" max="13058" width="21" style="5" customWidth="1"/>
    <col min="13059" max="13059" width="4.453125" style="5" customWidth="1"/>
    <col min="13060" max="13060" width="22" style="5" customWidth="1"/>
    <col min="13061" max="13061" width="11.7265625" style="5" customWidth="1"/>
    <col min="13062" max="13062" width="14" style="5" customWidth="1"/>
    <col min="13063" max="13063" width="17" style="5" customWidth="1"/>
    <col min="13064" max="13064" width="15.54296875" style="5" customWidth="1"/>
    <col min="13065" max="13065" width="1.81640625" style="5" customWidth="1"/>
    <col min="13066" max="13066" width="0.54296875" style="5" customWidth="1"/>
    <col min="13067" max="13306" width="9.1796875" style="5"/>
    <col min="13307" max="13307" width="0.7265625" style="5" customWidth="1"/>
    <col min="13308" max="13308" width="5.26953125" style="5" customWidth="1"/>
    <col min="13309" max="13309" width="16.81640625" style="5" customWidth="1"/>
    <col min="13310" max="13310" width="3" style="5" customWidth="1"/>
    <col min="13311" max="13311" width="9.7265625" style="5" customWidth="1"/>
    <col min="13312" max="13312" width="0" style="5" hidden="1" customWidth="1"/>
    <col min="13313" max="13313" width="3" style="5" customWidth="1"/>
    <col min="13314" max="13314" width="21" style="5" customWidth="1"/>
    <col min="13315" max="13315" width="4.453125" style="5" customWidth="1"/>
    <col min="13316" max="13316" width="22" style="5" customWidth="1"/>
    <col min="13317" max="13317" width="11.7265625" style="5" customWidth="1"/>
    <col min="13318" max="13318" width="14" style="5" customWidth="1"/>
    <col min="13319" max="13319" width="17" style="5" customWidth="1"/>
    <col min="13320" max="13320" width="15.54296875" style="5" customWidth="1"/>
    <col min="13321" max="13321" width="1.81640625" style="5" customWidth="1"/>
    <col min="13322" max="13322" width="0.54296875" style="5" customWidth="1"/>
    <col min="13323" max="13562" width="9.1796875" style="5"/>
    <col min="13563" max="13563" width="0.7265625" style="5" customWidth="1"/>
    <col min="13564" max="13564" width="5.26953125" style="5" customWidth="1"/>
    <col min="13565" max="13565" width="16.81640625" style="5" customWidth="1"/>
    <col min="13566" max="13566" width="3" style="5" customWidth="1"/>
    <col min="13567" max="13567" width="9.7265625" style="5" customWidth="1"/>
    <col min="13568" max="13568" width="0" style="5" hidden="1" customWidth="1"/>
    <col min="13569" max="13569" width="3" style="5" customWidth="1"/>
    <col min="13570" max="13570" width="21" style="5" customWidth="1"/>
    <col min="13571" max="13571" width="4.453125" style="5" customWidth="1"/>
    <col min="13572" max="13572" width="22" style="5" customWidth="1"/>
    <col min="13573" max="13573" width="11.7265625" style="5" customWidth="1"/>
    <col min="13574" max="13574" width="14" style="5" customWidth="1"/>
    <col min="13575" max="13575" width="17" style="5" customWidth="1"/>
    <col min="13576" max="13576" width="15.54296875" style="5" customWidth="1"/>
    <col min="13577" max="13577" width="1.81640625" style="5" customWidth="1"/>
    <col min="13578" max="13578" width="0.54296875" style="5" customWidth="1"/>
    <col min="13579" max="13818" width="9.1796875" style="5"/>
    <col min="13819" max="13819" width="0.7265625" style="5" customWidth="1"/>
    <col min="13820" max="13820" width="5.26953125" style="5" customWidth="1"/>
    <col min="13821" max="13821" width="16.81640625" style="5" customWidth="1"/>
    <col min="13822" max="13822" width="3" style="5" customWidth="1"/>
    <col min="13823" max="13823" width="9.7265625" style="5" customWidth="1"/>
    <col min="13824" max="13824" width="0" style="5" hidden="1" customWidth="1"/>
    <col min="13825" max="13825" width="3" style="5" customWidth="1"/>
    <col min="13826" max="13826" width="21" style="5" customWidth="1"/>
    <col min="13827" max="13827" width="4.453125" style="5" customWidth="1"/>
    <col min="13828" max="13828" width="22" style="5" customWidth="1"/>
    <col min="13829" max="13829" width="11.7265625" style="5" customWidth="1"/>
    <col min="13830" max="13830" width="14" style="5" customWidth="1"/>
    <col min="13831" max="13831" width="17" style="5" customWidth="1"/>
    <col min="13832" max="13832" width="15.54296875" style="5" customWidth="1"/>
    <col min="13833" max="13833" width="1.81640625" style="5" customWidth="1"/>
    <col min="13834" max="13834" width="0.54296875" style="5" customWidth="1"/>
    <col min="13835" max="14074" width="9.1796875" style="5"/>
    <col min="14075" max="14075" width="0.7265625" style="5" customWidth="1"/>
    <col min="14076" max="14076" width="5.26953125" style="5" customWidth="1"/>
    <col min="14077" max="14077" width="16.81640625" style="5" customWidth="1"/>
    <col min="14078" max="14078" width="3" style="5" customWidth="1"/>
    <col min="14079" max="14079" width="9.7265625" style="5" customWidth="1"/>
    <col min="14080" max="14080" width="0" style="5" hidden="1" customWidth="1"/>
    <col min="14081" max="14081" width="3" style="5" customWidth="1"/>
    <col min="14082" max="14082" width="21" style="5" customWidth="1"/>
    <col min="14083" max="14083" width="4.453125" style="5" customWidth="1"/>
    <col min="14084" max="14084" width="22" style="5" customWidth="1"/>
    <col min="14085" max="14085" width="11.7265625" style="5" customWidth="1"/>
    <col min="14086" max="14086" width="14" style="5" customWidth="1"/>
    <col min="14087" max="14087" width="17" style="5" customWidth="1"/>
    <col min="14088" max="14088" width="15.54296875" style="5" customWidth="1"/>
    <col min="14089" max="14089" width="1.81640625" style="5" customWidth="1"/>
    <col min="14090" max="14090" width="0.54296875" style="5" customWidth="1"/>
    <col min="14091" max="14330" width="9.1796875" style="5"/>
    <col min="14331" max="14331" width="0.7265625" style="5" customWidth="1"/>
    <col min="14332" max="14332" width="5.26953125" style="5" customWidth="1"/>
    <col min="14333" max="14333" width="16.81640625" style="5" customWidth="1"/>
    <col min="14334" max="14334" width="3" style="5" customWidth="1"/>
    <col min="14335" max="14335" width="9.7265625" style="5" customWidth="1"/>
    <col min="14336" max="14336" width="0" style="5" hidden="1" customWidth="1"/>
    <col min="14337" max="14337" width="3" style="5" customWidth="1"/>
    <col min="14338" max="14338" width="21" style="5" customWidth="1"/>
    <col min="14339" max="14339" width="4.453125" style="5" customWidth="1"/>
    <col min="14340" max="14340" width="22" style="5" customWidth="1"/>
    <col min="14341" max="14341" width="11.7265625" style="5" customWidth="1"/>
    <col min="14342" max="14342" width="14" style="5" customWidth="1"/>
    <col min="14343" max="14343" width="17" style="5" customWidth="1"/>
    <col min="14344" max="14344" width="15.54296875" style="5" customWidth="1"/>
    <col min="14345" max="14345" width="1.81640625" style="5" customWidth="1"/>
    <col min="14346" max="14346" width="0.54296875" style="5" customWidth="1"/>
    <col min="14347" max="14586" width="9.1796875" style="5"/>
    <col min="14587" max="14587" width="0.7265625" style="5" customWidth="1"/>
    <col min="14588" max="14588" width="5.26953125" style="5" customWidth="1"/>
    <col min="14589" max="14589" width="16.81640625" style="5" customWidth="1"/>
    <col min="14590" max="14590" width="3" style="5" customWidth="1"/>
    <col min="14591" max="14591" width="9.7265625" style="5" customWidth="1"/>
    <col min="14592" max="14592" width="0" style="5" hidden="1" customWidth="1"/>
    <col min="14593" max="14593" width="3" style="5" customWidth="1"/>
    <col min="14594" max="14594" width="21" style="5" customWidth="1"/>
    <col min="14595" max="14595" width="4.453125" style="5" customWidth="1"/>
    <col min="14596" max="14596" width="22" style="5" customWidth="1"/>
    <col min="14597" max="14597" width="11.7265625" style="5" customWidth="1"/>
    <col min="14598" max="14598" width="14" style="5" customWidth="1"/>
    <col min="14599" max="14599" width="17" style="5" customWidth="1"/>
    <col min="14600" max="14600" width="15.54296875" style="5" customWidth="1"/>
    <col min="14601" max="14601" width="1.81640625" style="5" customWidth="1"/>
    <col min="14602" max="14602" width="0.54296875" style="5" customWidth="1"/>
    <col min="14603" max="14842" width="9.1796875" style="5"/>
    <col min="14843" max="14843" width="0.7265625" style="5" customWidth="1"/>
    <col min="14844" max="14844" width="5.26953125" style="5" customWidth="1"/>
    <col min="14845" max="14845" width="16.81640625" style="5" customWidth="1"/>
    <col min="14846" max="14846" width="3" style="5" customWidth="1"/>
    <col min="14847" max="14847" width="9.7265625" style="5" customWidth="1"/>
    <col min="14848" max="14848" width="0" style="5" hidden="1" customWidth="1"/>
    <col min="14849" max="14849" width="3" style="5" customWidth="1"/>
    <col min="14850" max="14850" width="21" style="5" customWidth="1"/>
    <col min="14851" max="14851" width="4.453125" style="5" customWidth="1"/>
    <col min="14852" max="14852" width="22" style="5" customWidth="1"/>
    <col min="14853" max="14853" width="11.7265625" style="5" customWidth="1"/>
    <col min="14854" max="14854" width="14" style="5" customWidth="1"/>
    <col min="14855" max="14855" width="17" style="5" customWidth="1"/>
    <col min="14856" max="14856" width="15.54296875" style="5" customWidth="1"/>
    <col min="14857" max="14857" width="1.81640625" style="5" customWidth="1"/>
    <col min="14858" max="14858" width="0.54296875" style="5" customWidth="1"/>
    <col min="14859" max="15098" width="9.1796875" style="5"/>
    <col min="15099" max="15099" width="0.7265625" style="5" customWidth="1"/>
    <col min="15100" max="15100" width="5.26953125" style="5" customWidth="1"/>
    <col min="15101" max="15101" width="16.81640625" style="5" customWidth="1"/>
    <col min="15102" max="15102" width="3" style="5" customWidth="1"/>
    <col min="15103" max="15103" width="9.7265625" style="5" customWidth="1"/>
    <col min="15104" max="15104" width="0" style="5" hidden="1" customWidth="1"/>
    <col min="15105" max="15105" width="3" style="5" customWidth="1"/>
    <col min="15106" max="15106" width="21" style="5" customWidth="1"/>
    <col min="15107" max="15107" width="4.453125" style="5" customWidth="1"/>
    <col min="15108" max="15108" width="22" style="5" customWidth="1"/>
    <col min="15109" max="15109" width="11.7265625" style="5" customWidth="1"/>
    <col min="15110" max="15110" width="14" style="5" customWidth="1"/>
    <col min="15111" max="15111" width="17" style="5" customWidth="1"/>
    <col min="15112" max="15112" width="15.54296875" style="5" customWidth="1"/>
    <col min="15113" max="15113" width="1.81640625" style="5" customWidth="1"/>
    <col min="15114" max="15114" width="0.54296875" style="5" customWidth="1"/>
    <col min="15115" max="15354" width="9.1796875" style="5"/>
    <col min="15355" max="15355" width="0.7265625" style="5" customWidth="1"/>
    <col min="15356" max="15356" width="5.26953125" style="5" customWidth="1"/>
    <col min="15357" max="15357" width="16.81640625" style="5" customWidth="1"/>
    <col min="15358" max="15358" width="3" style="5" customWidth="1"/>
    <col min="15359" max="15359" width="9.7265625" style="5" customWidth="1"/>
    <col min="15360" max="15360" width="0" style="5" hidden="1" customWidth="1"/>
    <col min="15361" max="15361" width="3" style="5" customWidth="1"/>
    <col min="15362" max="15362" width="21" style="5" customWidth="1"/>
    <col min="15363" max="15363" width="4.453125" style="5" customWidth="1"/>
    <col min="15364" max="15364" width="22" style="5" customWidth="1"/>
    <col min="15365" max="15365" width="11.7265625" style="5" customWidth="1"/>
    <col min="15366" max="15366" width="14" style="5" customWidth="1"/>
    <col min="15367" max="15367" width="17" style="5" customWidth="1"/>
    <col min="15368" max="15368" width="15.54296875" style="5" customWidth="1"/>
    <col min="15369" max="15369" width="1.81640625" style="5" customWidth="1"/>
    <col min="15370" max="15370" width="0.54296875" style="5" customWidth="1"/>
    <col min="15371" max="15610" width="9.1796875" style="5"/>
    <col min="15611" max="15611" width="0.7265625" style="5" customWidth="1"/>
    <col min="15612" max="15612" width="5.26953125" style="5" customWidth="1"/>
    <col min="15613" max="15613" width="16.81640625" style="5" customWidth="1"/>
    <col min="15614" max="15614" width="3" style="5" customWidth="1"/>
    <col min="15615" max="15615" width="9.7265625" style="5" customWidth="1"/>
    <col min="15616" max="15616" width="0" style="5" hidden="1" customWidth="1"/>
    <col min="15617" max="15617" width="3" style="5" customWidth="1"/>
    <col min="15618" max="15618" width="21" style="5" customWidth="1"/>
    <col min="15619" max="15619" width="4.453125" style="5" customWidth="1"/>
    <col min="15620" max="15620" width="22" style="5" customWidth="1"/>
    <col min="15621" max="15621" width="11.7265625" style="5" customWidth="1"/>
    <col min="15622" max="15622" width="14" style="5" customWidth="1"/>
    <col min="15623" max="15623" width="17" style="5" customWidth="1"/>
    <col min="15624" max="15624" width="15.54296875" style="5" customWidth="1"/>
    <col min="15625" max="15625" width="1.81640625" style="5" customWidth="1"/>
    <col min="15626" max="15626" width="0.54296875" style="5" customWidth="1"/>
    <col min="15627" max="15866" width="9.1796875" style="5"/>
    <col min="15867" max="15867" width="0.7265625" style="5" customWidth="1"/>
    <col min="15868" max="15868" width="5.26953125" style="5" customWidth="1"/>
    <col min="15869" max="15869" width="16.81640625" style="5" customWidth="1"/>
    <col min="15870" max="15870" width="3" style="5" customWidth="1"/>
    <col min="15871" max="15871" width="9.7265625" style="5" customWidth="1"/>
    <col min="15872" max="15872" width="0" style="5" hidden="1" customWidth="1"/>
    <col min="15873" max="15873" width="3" style="5" customWidth="1"/>
    <col min="15874" max="15874" width="21" style="5" customWidth="1"/>
    <col min="15875" max="15875" width="4.453125" style="5" customWidth="1"/>
    <col min="15876" max="15876" width="22" style="5" customWidth="1"/>
    <col min="15877" max="15877" width="11.7265625" style="5" customWidth="1"/>
    <col min="15878" max="15878" width="14" style="5" customWidth="1"/>
    <col min="15879" max="15879" width="17" style="5" customWidth="1"/>
    <col min="15880" max="15880" width="15.54296875" style="5" customWidth="1"/>
    <col min="15881" max="15881" width="1.81640625" style="5" customWidth="1"/>
    <col min="15882" max="15882" width="0.54296875" style="5" customWidth="1"/>
    <col min="15883" max="16122" width="9.1796875" style="5"/>
    <col min="16123" max="16123" width="0.7265625" style="5" customWidth="1"/>
    <col min="16124" max="16124" width="5.26953125" style="5" customWidth="1"/>
    <col min="16125" max="16125" width="16.81640625" style="5" customWidth="1"/>
    <col min="16126" max="16126" width="3" style="5" customWidth="1"/>
    <col min="16127" max="16127" width="9.7265625" style="5" customWidth="1"/>
    <col min="16128" max="16128" width="0" style="5" hidden="1" customWidth="1"/>
    <col min="16129" max="16129" width="3" style="5" customWidth="1"/>
    <col min="16130" max="16130" width="21" style="5" customWidth="1"/>
    <col min="16131" max="16131" width="4.453125" style="5" customWidth="1"/>
    <col min="16132" max="16132" width="22" style="5" customWidth="1"/>
    <col min="16133" max="16133" width="11.7265625" style="5" customWidth="1"/>
    <col min="16134" max="16134" width="14" style="5" customWidth="1"/>
    <col min="16135" max="16135" width="17" style="5" customWidth="1"/>
    <col min="16136" max="16136" width="15.54296875" style="5" customWidth="1"/>
    <col min="16137" max="16137" width="1.81640625" style="5" customWidth="1"/>
    <col min="16138" max="16138" width="0.54296875" style="5" customWidth="1"/>
    <col min="16139" max="16384" width="9.1796875" style="5"/>
  </cols>
  <sheetData>
    <row r="1" spans="1:13" ht="15.75" customHeight="1" x14ac:dyDescent="0.3">
      <c r="A1" s="2"/>
      <c r="B1" s="3"/>
      <c r="C1" s="3"/>
      <c r="D1" s="3"/>
      <c r="E1" s="3"/>
      <c r="F1" s="3"/>
      <c r="G1" s="3"/>
      <c r="H1" s="3"/>
      <c r="I1" s="3"/>
      <c r="J1" s="4"/>
      <c r="K1" s="3"/>
      <c r="L1" s="161" t="s">
        <v>21</v>
      </c>
    </row>
    <row r="2" spans="1:13" ht="15.75" customHeight="1" x14ac:dyDescent="0.3">
      <c r="A2" s="2"/>
      <c r="B2" s="3"/>
      <c r="C2" s="3"/>
      <c r="D2" s="3"/>
      <c r="E2" s="3"/>
      <c r="F2" s="3"/>
      <c r="G2" s="3"/>
      <c r="H2" s="3"/>
      <c r="I2" s="3"/>
      <c r="J2" s="4"/>
      <c r="K2" s="3"/>
      <c r="L2" s="162"/>
    </row>
    <row r="3" spans="1:13" ht="15" customHeight="1" thickBot="1" x14ac:dyDescent="0.35">
      <c r="A3" s="2"/>
      <c r="B3" s="3"/>
      <c r="C3" s="3"/>
      <c r="D3" s="3"/>
      <c r="E3" s="3"/>
      <c r="F3" s="3"/>
      <c r="G3" s="3"/>
      <c r="H3" s="3"/>
      <c r="I3" s="3"/>
      <c r="J3" s="4"/>
      <c r="K3" s="3"/>
      <c r="L3" s="163"/>
    </row>
    <row r="4" spans="1:13" ht="15" customHeight="1" x14ac:dyDescent="0.3">
      <c r="A4" s="2"/>
      <c r="B4" s="3"/>
      <c r="C4" s="3"/>
      <c r="D4" s="3"/>
      <c r="E4" s="3"/>
      <c r="F4" s="3"/>
      <c r="G4" s="3"/>
      <c r="H4" s="3"/>
      <c r="I4" s="3"/>
      <c r="J4" s="4"/>
      <c r="K4" s="3"/>
      <c r="L4" s="3"/>
    </row>
    <row r="5" spans="1:13" ht="31.5" customHeight="1" x14ac:dyDescent="0.3">
      <c r="A5" s="6" t="s">
        <v>0</v>
      </c>
      <c r="B5" s="157" t="s">
        <v>1</v>
      </c>
      <c r="C5" s="173"/>
      <c r="D5" s="173"/>
      <c r="E5" s="173"/>
      <c r="F5" s="173"/>
      <c r="G5" s="3"/>
      <c r="H5" s="8" t="s">
        <v>2</v>
      </c>
      <c r="I5" s="9"/>
      <c r="J5" s="9"/>
      <c r="K5" s="10" t="s">
        <v>3</v>
      </c>
      <c r="L5" s="11"/>
    </row>
    <row r="6" spans="1:13" ht="15.75" customHeight="1" x14ac:dyDescent="0.3">
      <c r="A6" s="3" t="s">
        <v>4</v>
      </c>
      <c r="B6" s="7" t="s">
        <v>1</v>
      </c>
      <c r="C6" s="12" t="s">
        <v>94</v>
      </c>
      <c r="D6" s="3"/>
      <c r="E6" s="3"/>
      <c r="F6" s="3"/>
      <c r="G6" s="3"/>
      <c r="H6" s="13" t="s">
        <v>5</v>
      </c>
      <c r="I6" s="14"/>
      <c r="J6" s="14"/>
      <c r="K6" s="15" t="s">
        <v>3</v>
      </c>
      <c r="L6" s="16"/>
    </row>
    <row r="7" spans="1:13" ht="15.65" customHeight="1" x14ac:dyDescent="0.3">
      <c r="A7" s="3" t="s">
        <v>6</v>
      </c>
      <c r="B7" s="7" t="s">
        <v>1</v>
      </c>
      <c r="C7" s="17" t="s">
        <v>77</v>
      </c>
      <c r="D7" s="3"/>
      <c r="E7" s="3"/>
      <c r="F7" s="3"/>
      <c r="G7" s="3"/>
      <c r="H7" s="13" t="s">
        <v>23</v>
      </c>
      <c r="I7" s="14"/>
      <c r="J7" s="14"/>
      <c r="K7" s="15" t="s">
        <v>3</v>
      </c>
      <c r="L7" s="16"/>
    </row>
    <row r="8" spans="1:13" x14ac:dyDescent="0.3">
      <c r="A8" s="3"/>
      <c r="B8" s="3"/>
      <c r="C8" s="3"/>
      <c r="D8" s="3"/>
      <c r="E8" s="3"/>
      <c r="F8" s="3"/>
      <c r="G8" s="3"/>
      <c r="H8" s="13" t="s">
        <v>22</v>
      </c>
      <c r="I8" s="14"/>
      <c r="J8" s="14"/>
      <c r="K8" s="15" t="s">
        <v>3</v>
      </c>
      <c r="L8" s="16"/>
    </row>
    <row r="9" spans="1:13" ht="15" customHeight="1" x14ac:dyDescent="0.3">
      <c r="A9" s="174" t="s">
        <v>7</v>
      </c>
      <c r="B9" s="174"/>
      <c r="C9" s="174"/>
      <c r="D9" s="174"/>
      <c r="E9" s="174"/>
      <c r="F9" s="174"/>
      <c r="G9" s="174"/>
      <c r="H9" s="174"/>
      <c r="I9" s="18"/>
      <c r="J9" s="18"/>
      <c r="K9" s="19"/>
    </row>
    <row r="10" spans="1:13" ht="14" thickBot="1" x14ac:dyDescent="0.35">
      <c r="H10" s="20"/>
      <c r="I10" s="18"/>
      <c r="J10" s="18"/>
      <c r="K10" s="19"/>
    </row>
    <row r="11" spans="1:13" s="21" customFormat="1" ht="15" customHeight="1" x14ac:dyDescent="0.35">
      <c r="D11" s="164" t="s">
        <v>8</v>
      </c>
      <c r="E11" s="165"/>
      <c r="F11" s="165"/>
      <c r="G11" s="166"/>
      <c r="H11" s="175" t="s">
        <v>76</v>
      </c>
      <c r="I11" s="22"/>
      <c r="J11" s="175" t="s">
        <v>55</v>
      </c>
    </row>
    <row r="12" spans="1:13" s="21" customFormat="1" ht="14" thickBot="1" x14ac:dyDescent="0.4">
      <c r="D12" s="167"/>
      <c r="E12" s="168"/>
      <c r="F12" s="168"/>
      <c r="G12" s="169"/>
      <c r="H12" s="176"/>
      <c r="I12" s="23"/>
      <c r="J12" s="176"/>
    </row>
    <row r="13" spans="1:13" ht="15.75" customHeight="1" x14ac:dyDescent="0.3">
      <c r="D13" s="170"/>
      <c r="E13" s="170"/>
      <c r="F13" s="170"/>
      <c r="G13" s="170"/>
      <c r="H13" s="24"/>
      <c r="I13" s="25"/>
      <c r="J13" s="26"/>
    </row>
    <row r="14" spans="1:13" x14ac:dyDescent="0.3">
      <c r="D14" s="171" t="s">
        <v>9</v>
      </c>
      <c r="E14" s="171"/>
      <c r="F14" s="171" t="s">
        <v>9</v>
      </c>
      <c r="G14" s="171"/>
      <c r="H14" s="27">
        <f>Lead!F30</f>
        <v>0</v>
      </c>
      <c r="I14" s="28"/>
      <c r="J14" s="27">
        <f>Lead!F31</f>
        <v>0</v>
      </c>
      <c r="M14" s="29"/>
    </row>
    <row r="15" spans="1:13" ht="16.5" customHeight="1" thickBot="1" x14ac:dyDescent="0.35">
      <c r="D15" s="172"/>
      <c r="E15" s="172"/>
      <c r="F15" s="172"/>
      <c r="G15" s="172"/>
      <c r="H15" s="30">
        <f>SUM(H14:H14)</f>
        <v>0</v>
      </c>
      <c r="I15" s="31"/>
      <c r="J15" s="30">
        <f>SUM(J14:J14)</f>
        <v>0</v>
      </c>
    </row>
    <row r="16" spans="1:13" ht="16.5" customHeight="1" thickTop="1" x14ac:dyDescent="0.3">
      <c r="F16" s="32"/>
      <c r="G16" s="32"/>
      <c r="H16" s="33"/>
      <c r="I16" s="32"/>
      <c r="L16" s="34"/>
    </row>
    <row r="17" spans="1:12" x14ac:dyDescent="0.3">
      <c r="K17" s="35"/>
      <c r="L17" s="36"/>
    </row>
    <row r="18" spans="1:12" x14ac:dyDescent="0.3">
      <c r="A18" s="5" t="s">
        <v>10</v>
      </c>
      <c r="E18" s="32" t="s">
        <v>11</v>
      </c>
      <c r="F18" s="5" t="s">
        <v>12</v>
      </c>
      <c r="H18" s="37"/>
      <c r="J18" s="38"/>
      <c r="K18" s="35"/>
      <c r="L18" s="36"/>
    </row>
    <row r="19" spans="1:12" x14ac:dyDescent="0.3">
      <c r="E19" s="32" t="s">
        <v>11</v>
      </c>
      <c r="F19" s="5" t="s">
        <v>13</v>
      </c>
      <c r="J19" s="39"/>
      <c r="K19" s="33"/>
      <c r="L19" s="33"/>
    </row>
    <row r="20" spans="1:12" x14ac:dyDescent="0.3">
      <c r="E20" s="32" t="s">
        <v>11</v>
      </c>
      <c r="F20" s="5" t="s">
        <v>14</v>
      </c>
      <c r="J20" s="39"/>
      <c r="K20" s="33"/>
      <c r="L20" s="33"/>
    </row>
    <row r="21" spans="1:12" x14ac:dyDescent="0.3">
      <c r="E21" s="32" t="s">
        <v>11</v>
      </c>
      <c r="F21" s="5" t="s">
        <v>87</v>
      </c>
      <c r="J21" s="39"/>
      <c r="K21" s="33"/>
      <c r="L21" s="33"/>
    </row>
    <row r="22" spans="1:12" x14ac:dyDescent="0.3">
      <c r="E22" s="32" t="s">
        <v>11</v>
      </c>
      <c r="F22" s="5" t="s">
        <v>15</v>
      </c>
      <c r="J22" s="39"/>
      <c r="K22" s="33"/>
      <c r="L22" s="33"/>
    </row>
    <row r="23" spans="1:12" x14ac:dyDescent="0.3">
      <c r="E23" s="32" t="s">
        <v>11</v>
      </c>
      <c r="F23" s="5" t="s">
        <v>32</v>
      </c>
      <c r="J23" s="39"/>
      <c r="K23" s="33"/>
      <c r="L23" s="33"/>
    </row>
    <row r="24" spans="1:12" x14ac:dyDescent="0.3">
      <c r="E24" s="32"/>
      <c r="J24" s="39"/>
      <c r="K24" s="33"/>
      <c r="L24" s="33"/>
    </row>
    <row r="25" spans="1:12" x14ac:dyDescent="0.3">
      <c r="E25" s="32"/>
      <c r="J25" s="39"/>
      <c r="K25" s="33"/>
      <c r="L25" s="33"/>
    </row>
    <row r="26" spans="1:12" x14ac:dyDescent="0.3">
      <c r="A26" s="5" t="s">
        <v>16</v>
      </c>
      <c r="E26" s="32" t="s">
        <v>17</v>
      </c>
      <c r="F26" s="159" t="s">
        <v>36</v>
      </c>
      <c r="G26" s="159"/>
      <c r="H26" s="159"/>
      <c r="I26" s="159"/>
      <c r="J26" s="159"/>
      <c r="K26" s="159"/>
      <c r="L26" s="159"/>
    </row>
    <row r="27" spans="1:12" x14ac:dyDescent="0.3">
      <c r="E27" s="32"/>
      <c r="F27" s="159"/>
      <c r="G27" s="159"/>
      <c r="H27" s="159"/>
      <c r="I27" s="159"/>
      <c r="J27" s="159"/>
      <c r="K27" s="159"/>
      <c r="L27" s="159"/>
    </row>
    <row r="28" spans="1:12" x14ac:dyDescent="0.3">
      <c r="E28" s="40"/>
      <c r="J28" s="41"/>
      <c r="K28" s="42"/>
      <c r="L28" s="34"/>
    </row>
    <row r="29" spans="1:12" x14ac:dyDescent="0.3">
      <c r="E29" s="43"/>
      <c r="F29" s="44"/>
      <c r="G29" s="44"/>
      <c r="J29" s="45"/>
      <c r="K29" s="45"/>
      <c r="L29" s="45"/>
    </row>
    <row r="30" spans="1:12" x14ac:dyDescent="0.3">
      <c r="A30" s="5" t="s">
        <v>18</v>
      </c>
      <c r="E30" s="32" t="s">
        <v>17</v>
      </c>
      <c r="F30" s="46" t="s">
        <v>19</v>
      </c>
      <c r="H30" s="47"/>
      <c r="I30" s="48"/>
      <c r="J30" s="38"/>
    </row>
    <row r="31" spans="1:12" x14ac:dyDescent="0.3">
      <c r="E31" s="32"/>
      <c r="F31" s="49"/>
      <c r="H31" s="47"/>
      <c r="I31" s="48"/>
      <c r="J31" s="38"/>
      <c r="K31" s="50"/>
    </row>
    <row r="32" spans="1:12" ht="16.5" customHeight="1" x14ac:dyDescent="0.3">
      <c r="E32" s="32"/>
      <c r="F32" s="51"/>
      <c r="G32" s="51"/>
      <c r="H32" s="51"/>
      <c r="I32" s="51"/>
      <c r="J32" s="51"/>
      <c r="K32" s="51"/>
      <c r="L32" s="51"/>
    </row>
    <row r="33" spans="1:12" ht="16.5" customHeight="1" x14ac:dyDescent="0.3">
      <c r="E33" s="32"/>
      <c r="F33" s="51"/>
      <c r="G33" s="51"/>
      <c r="H33" s="51"/>
      <c r="I33" s="51"/>
      <c r="J33" s="51"/>
      <c r="K33" s="51"/>
      <c r="L33" s="51"/>
    </row>
    <row r="34" spans="1:12" x14ac:dyDescent="0.3">
      <c r="E34" s="32"/>
      <c r="H34" s="47"/>
      <c r="I34" s="48"/>
      <c r="J34" s="52"/>
      <c r="K34" s="53"/>
    </row>
    <row r="35" spans="1:12" x14ac:dyDescent="0.3">
      <c r="A35" s="5" t="s">
        <v>31</v>
      </c>
      <c r="E35" s="32" t="s">
        <v>17</v>
      </c>
      <c r="H35" s="47"/>
      <c r="I35" s="48"/>
      <c r="J35" s="52"/>
      <c r="K35" s="53"/>
    </row>
    <row r="36" spans="1:12" x14ac:dyDescent="0.3">
      <c r="E36" s="32"/>
      <c r="H36" s="47"/>
      <c r="I36" s="48"/>
      <c r="J36" s="52"/>
      <c r="K36" s="53"/>
    </row>
    <row r="37" spans="1:12" x14ac:dyDescent="0.3">
      <c r="E37" s="32"/>
      <c r="H37" s="47"/>
      <c r="I37" s="48"/>
      <c r="J37" s="52"/>
      <c r="K37" s="53"/>
    </row>
    <row r="38" spans="1:12" x14ac:dyDescent="0.3">
      <c r="E38" s="32"/>
      <c r="H38" s="47"/>
      <c r="I38" s="48"/>
      <c r="J38" s="54"/>
    </row>
    <row r="39" spans="1:12" x14ac:dyDescent="0.3">
      <c r="E39" s="32"/>
      <c r="H39" s="47"/>
      <c r="I39" s="48"/>
      <c r="J39" s="38"/>
      <c r="K39" s="50"/>
    </row>
    <row r="40" spans="1:12" x14ac:dyDescent="0.3">
      <c r="E40" s="32"/>
      <c r="F40" s="55"/>
      <c r="H40" s="47"/>
      <c r="I40" s="48"/>
      <c r="J40" s="38"/>
    </row>
    <row r="41" spans="1:12" x14ac:dyDescent="0.3">
      <c r="E41" s="32"/>
      <c r="F41" s="55"/>
      <c r="H41" s="47"/>
      <c r="I41" s="48"/>
      <c r="J41" s="38"/>
    </row>
    <row r="42" spans="1:12" x14ac:dyDescent="0.3">
      <c r="A42" s="56" t="s">
        <v>33</v>
      </c>
      <c r="B42" s="56"/>
      <c r="C42" s="56"/>
      <c r="D42" s="56"/>
      <c r="E42" s="57" t="s">
        <v>17</v>
      </c>
      <c r="F42" s="160" t="s">
        <v>20</v>
      </c>
      <c r="G42" s="160"/>
      <c r="H42" s="160"/>
      <c r="I42" s="160"/>
      <c r="J42" s="160"/>
      <c r="K42" s="160"/>
      <c r="L42" s="160"/>
    </row>
    <row r="43" spans="1:12" x14ac:dyDescent="0.3">
      <c r="A43" s="56"/>
      <c r="B43" s="56"/>
      <c r="C43" s="56"/>
      <c r="D43" s="56"/>
      <c r="E43" s="57"/>
      <c r="F43" s="58"/>
      <c r="G43" s="58"/>
      <c r="H43" s="58"/>
      <c r="I43" s="58"/>
      <c r="J43" s="59"/>
      <c r="K43" s="58"/>
      <c r="L43" s="58"/>
    </row>
    <row r="44" spans="1:12" x14ac:dyDescent="0.3">
      <c r="A44" s="56"/>
      <c r="B44" s="56"/>
      <c r="C44" s="56"/>
      <c r="D44" s="56"/>
      <c r="E44" s="57"/>
      <c r="F44" s="48"/>
    </row>
  </sheetData>
  <mergeCells count="11">
    <mergeCell ref="F26:L27"/>
    <mergeCell ref="F42:L42"/>
    <mergeCell ref="L1:L3"/>
    <mergeCell ref="D11:G12"/>
    <mergeCell ref="D13:G13"/>
    <mergeCell ref="D14:G14"/>
    <mergeCell ref="D15:G15"/>
    <mergeCell ref="C5:F5"/>
    <mergeCell ref="A9:H9"/>
    <mergeCell ref="J11:J12"/>
    <mergeCell ref="H11:H12"/>
  </mergeCells>
  <pageMargins left="0.6692913385826772" right="0.51181102362204722" top="0.51181102362204722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view="pageBreakPreview" topLeftCell="A16" zoomScaleNormal="100" zoomScaleSheetLayoutView="100" workbookViewId="0">
      <selection activeCell="A33" sqref="A33"/>
    </sheetView>
  </sheetViews>
  <sheetFormatPr defaultRowHeight="15" customHeight="1" x14ac:dyDescent="0.3"/>
  <cols>
    <col min="1" max="1" width="39.26953125" style="82" customWidth="1"/>
    <col min="2" max="2" width="15.7265625" style="82" customWidth="1"/>
    <col min="3" max="3" width="1.7265625" style="82" customWidth="1"/>
    <col min="4" max="4" width="15.7265625" style="96" customWidth="1"/>
    <col min="5" max="5" width="1.7265625" style="82" customWidth="1"/>
    <col min="6" max="6" width="15.7265625" style="82" customWidth="1"/>
    <col min="7" max="7" width="9.1796875" style="82"/>
    <col min="8" max="8" width="11.26953125" style="82" bestFit="1" customWidth="1"/>
    <col min="9" max="247" width="9.1796875" style="82"/>
    <col min="248" max="248" width="2.54296875" style="82" customWidth="1"/>
    <col min="249" max="249" width="48.453125" style="82" customWidth="1"/>
    <col min="250" max="250" width="1.54296875" style="82" customWidth="1"/>
    <col min="251" max="251" width="13.7265625" style="82" customWidth="1"/>
    <col min="252" max="252" width="1.453125" style="82" customWidth="1"/>
    <col min="253" max="253" width="13.7265625" style="82" customWidth="1"/>
    <col min="254" max="254" width="1.453125" style="82" customWidth="1"/>
    <col min="255" max="255" width="13.7265625" style="82" customWidth="1"/>
    <col min="256" max="256" width="1.453125" style="82" customWidth="1"/>
    <col min="257" max="257" width="13.7265625" style="82" customWidth="1"/>
    <col min="258" max="260" width="9.1796875" style="82"/>
    <col min="261" max="261" width="10.26953125" style="82" bestFit="1" customWidth="1"/>
    <col min="262" max="263" width="9.1796875" style="82"/>
    <col min="264" max="264" width="11.26953125" style="82" bestFit="1" customWidth="1"/>
    <col min="265" max="503" width="9.1796875" style="82"/>
    <col min="504" max="504" width="2.54296875" style="82" customWidth="1"/>
    <col min="505" max="505" width="48.453125" style="82" customWidth="1"/>
    <col min="506" max="506" width="1.54296875" style="82" customWidth="1"/>
    <col min="507" max="507" width="13.7265625" style="82" customWidth="1"/>
    <col min="508" max="508" width="1.453125" style="82" customWidth="1"/>
    <col min="509" max="509" width="13.7265625" style="82" customWidth="1"/>
    <col min="510" max="510" width="1.453125" style="82" customWidth="1"/>
    <col min="511" max="511" width="13.7265625" style="82" customWidth="1"/>
    <col min="512" max="512" width="1.453125" style="82" customWidth="1"/>
    <col min="513" max="513" width="13.7265625" style="82" customWidth="1"/>
    <col min="514" max="516" width="9.1796875" style="82"/>
    <col min="517" max="517" width="10.26953125" style="82" bestFit="1" customWidth="1"/>
    <col min="518" max="519" width="9.1796875" style="82"/>
    <col min="520" max="520" width="11.26953125" style="82" bestFit="1" customWidth="1"/>
    <col min="521" max="759" width="9.1796875" style="82"/>
    <col min="760" max="760" width="2.54296875" style="82" customWidth="1"/>
    <col min="761" max="761" width="48.453125" style="82" customWidth="1"/>
    <col min="762" max="762" width="1.54296875" style="82" customWidth="1"/>
    <col min="763" max="763" width="13.7265625" style="82" customWidth="1"/>
    <col min="764" max="764" width="1.453125" style="82" customWidth="1"/>
    <col min="765" max="765" width="13.7265625" style="82" customWidth="1"/>
    <col min="766" max="766" width="1.453125" style="82" customWidth="1"/>
    <col min="767" max="767" width="13.7265625" style="82" customWidth="1"/>
    <col min="768" max="768" width="1.453125" style="82" customWidth="1"/>
    <col min="769" max="769" width="13.7265625" style="82" customWidth="1"/>
    <col min="770" max="772" width="9.1796875" style="82"/>
    <col min="773" max="773" width="10.26953125" style="82" bestFit="1" customWidth="1"/>
    <col min="774" max="775" width="9.1796875" style="82"/>
    <col min="776" max="776" width="11.26953125" style="82" bestFit="1" customWidth="1"/>
    <col min="777" max="1015" width="9.1796875" style="82"/>
    <col min="1016" max="1016" width="2.54296875" style="82" customWidth="1"/>
    <col min="1017" max="1017" width="48.453125" style="82" customWidth="1"/>
    <col min="1018" max="1018" width="1.54296875" style="82" customWidth="1"/>
    <col min="1019" max="1019" width="13.7265625" style="82" customWidth="1"/>
    <col min="1020" max="1020" width="1.453125" style="82" customWidth="1"/>
    <col min="1021" max="1021" width="13.7265625" style="82" customWidth="1"/>
    <col min="1022" max="1022" width="1.453125" style="82" customWidth="1"/>
    <col min="1023" max="1023" width="13.7265625" style="82" customWidth="1"/>
    <col min="1024" max="1024" width="1.453125" style="82" customWidth="1"/>
    <col min="1025" max="1025" width="13.7265625" style="82" customWidth="1"/>
    <col min="1026" max="1028" width="9.1796875" style="82"/>
    <col min="1029" max="1029" width="10.26953125" style="82" bestFit="1" customWidth="1"/>
    <col min="1030" max="1031" width="9.1796875" style="82"/>
    <col min="1032" max="1032" width="11.26953125" style="82" bestFit="1" customWidth="1"/>
    <col min="1033" max="1271" width="9.1796875" style="82"/>
    <col min="1272" max="1272" width="2.54296875" style="82" customWidth="1"/>
    <col min="1273" max="1273" width="48.453125" style="82" customWidth="1"/>
    <col min="1274" max="1274" width="1.54296875" style="82" customWidth="1"/>
    <col min="1275" max="1275" width="13.7265625" style="82" customWidth="1"/>
    <col min="1276" max="1276" width="1.453125" style="82" customWidth="1"/>
    <col min="1277" max="1277" width="13.7265625" style="82" customWidth="1"/>
    <col min="1278" max="1278" width="1.453125" style="82" customWidth="1"/>
    <col min="1279" max="1279" width="13.7265625" style="82" customWidth="1"/>
    <col min="1280" max="1280" width="1.453125" style="82" customWidth="1"/>
    <col min="1281" max="1281" width="13.7265625" style="82" customWidth="1"/>
    <col min="1282" max="1284" width="9.1796875" style="82"/>
    <col min="1285" max="1285" width="10.26953125" style="82" bestFit="1" customWidth="1"/>
    <col min="1286" max="1287" width="9.1796875" style="82"/>
    <col min="1288" max="1288" width="11.26953125" style="82" bestFit="1" customWidth="1"/>
    <col min="1289" max="1527" width="9.1796875" style="82"/>
    <col min="1528" max="1528" width="2.54296875" style="82" customWidth="1"/>
    <col min="1529" max="1529" width="48.453125" style="82" customWidth="1"/>
    <col min="1530" max="1530" width="1.54296875" style="82" customWidth="1"/>
    <col min="1531" max="1531" width="13.7265625" style="82" customWidth="1"/>
    <col min="1532" max="1532" width="1.453125" style="82" customWidth="1"/>
    <col min="1533" max="1533" width="13.7265625" style="82" customWidth="1"/>
    <col min="1534" max="1534" width="1.453125" style="82" customWidth="1"/>
    <col min="1535" max="1535" width="13.7265625" style="82" customWidth="1"/>
    <col min="1536" max="1536" width="1.453125" style="82" customWidth="1"/>
    <col min="1537" max="1537" width="13.7265625" style="82" customWidth="1"/>
    <col min="1538" max="1540" width="9.1796875" style="82"/>
    <col min="1541" max="1541" width="10.26953125" style="82" bestFit="1" customWidth="1"/>
    <col min="1542" max="1543" width="9.1796875" style="82"/>
    <col min="1544" max="1544" width="11.26953125" style="82" bestFit="1" customWidth="1"/>
    <col min="1545" max="1783" width="9.1796875" style="82"/>
    <col min="1784" max="1784" width="2.54296875" style="82" customWidth="1"/>
    <col min="1785" max="1785" width="48.453125" style="82" customWidth="1"/>
    <col min="1786" max="1786" width="1.54296875" style="82" customWidth="1"/>
    <col min="1787" max="1787" width="13.7265625" style="82" customWidth="1"/>
    <col min="1788" max="1788" width="1.453125" style="82" customWidth="1"/>
    <col min="1789" max="1789" width="13.7265625" style="82" customWidth="1"/>
    <col min="1790" max="1790" width="1.453125" style="82" customWidth="1"/>
    <col min="1791" max="1791" width="13.7265625" style="82" customWidth="1"/>
    <col min="1792" max="1792" width="1.453125" style="82" customWidth="1"/>
    <col min="1793" max="1793" width="13.7265625" style="82" customWidth="1"/>
    <col min="1794" max="1796" width="9.1796875" style="82"/>
    <col min="1797" max="1797" width="10.26953125" style="82" bestFit="1" customWidth="1"/>
    <col min="1798" max="1799" width="9.1796875" style="82"/>
    <col min="1800" max="1800" width="11.26953125" style="82" bestFit="1" customWidth="1"/>
    <col min="1801" max="2039" width="9.1796875" style="82"/>
    <col min="2040" max="2040" width="2.54296875" style="82" customWidth="1"/>
    <col min="2041" max="2041" width="48.453125" style="82" customWidth="1"/>
    <col min="2042" max="2042" width="1.54296875" style="82" customWidth="1"/>
    <col min="2043" max="2043" width="13.7265625" style="82" customWidth="1"/>
    <col min="2044" max="2044" width="1.453125" style="82" customWidth="1"/>
    <col min="2045" max="2045" width="13.7265625" style="82" customWidth="1"/>
    <col min="2046" max="2046" width="1.453125" style="82" customWidth="1"/>
    <col min="2047" max="2047" width="13.7265625" style="82" customWidth="1"/>
    <col min="2048" max="2048" width="1.453125" style="82" customWidth="1"/>
    <col min="2049" max="2049" width="13.7265625" style="82" customWidth="1"/>
    <col min="2050" max="2052" width="9.1796875" style="82"/>
    <col min="2053" max="2053" width="10.26953125" style="82" bestFit="1" customWidth="1"/>
    <col min="2054" max="2055" width="9.1796875" style="82"/>
    <col min="2056" max="2056" width="11.26953125" style="82" bestFit="1" customWidth="1"/>
    <col min="2057" max="2295" width="9.1796875" style="82"/>
    <col min="2296" max="2296" width="2.54296875" style="82" customWidth="1"/>
    <col min="2297" max="2297" width="48.453125" style="82" customWidth="1"/>
    <col min="2298" max="2298" width="1.54296875" style="82" customWidth="1"/>
    <col min="2299" max="2299" width="13.7265625" style="82" customWidth="1"/>
    <col min="2300" max="2300" width="1.453125" style="82" customWidth="1"/>
    <col min="2301" max="2301" width="13.7265625" style="82" customWidth="1"/>
    <col min="2302" max="2302" width="1.453125" style="82" customWidth="1"/>
    <col min="2303" max="2303" width="13.7265625" style="82" customWidth="1"/>
    <col min="2304" max="2304" width="1.453125" style="82" customWidth="1"/>
    <col min="2305" max="2305" width="13.7265625" style="82" customWidth="1"/>
    <col min="2306" max="2308" width="9.1796875" style="82"/>
    <col min="2309" max="2309" width="10.26953125" style="82" bestFit="1" customWidth="1"/>
    <col min="2310" max="2311" width="9.1796875" style="82"/>
    <col min="2312" max="2312" width="11.26953125" style="82" bestFit="1" customWidth="1"/>
    <col min="2313" max="2551" width="9.1796875" style="82"/>
    <col min="2552" max="2552" width="2.54296875" style="82" customWidth="1"/>
    <col min="2553" max="2553" width="48.453125" style="82" customWidth="1"/>
    <col min="2554" max="2554" width="1.54296875" style="82" customWidth="1"/>
    <col min="2555" max="2555" width="13.7265625" style="82" customWidth="1"/>
    <col min="2556" max="2556" width="1.453125" style="82" customWidth="1"/>
    <col min="2557" max="2557" width="13.7265625" style="82" customWidth="1"/>
    <col min="2558" max="2558" width="1.453125" style="82" customWidth="1"/>
    <col min="2559" max="2559" width="13.7265625" style="82" customWidth="1"/>
    <col min="2560" max="2560" width="1.453125" style="82" customWidth="1"/>
    <col min="2561" max="2561" width="13.7265625" style="82" customWidth="1"/>
    <col min="2562" max="2564" width="9.1796875" style="82"/>
    <col min="2565" max="2565" width="10.26953125" style="82" bestFit="1" customWidth="1"/>
    <col min="2566" max="2567" width="9.1796875" style="82"/>
    <col min="2568" max="2568" width="11.26953125" style="82" bestFit="1" customWidth="1"/>
    <col min="2569" max="2807" width="9.1796875" style="82"/>
    <col min="2808" max="2808" width="2.54296875" style="82" customWidth="1"/>
    <col min="2809" max="2809" width="48.453125" style="82" customWidth="1"/>
    <col min="2810" max="2810" width="1.54296875" style="82" customWidth="1"/>
    <col min="2811" max="2811" width="13.7265625" style="82" customWidth="1"/>
    <col min="2812" max="2812" width="1.453125" style="82" customWidth="1"/>
    <col min="2813" max="2813" width="13.7265625" style="82" customWidth="1"/>
    <col min="2814" max="2814" width="1.453125" style="82" customWidth="1"/>
    <col min="2815" max="2815" width="13.7265625" style="82" customWidth="1"/>
    <col min="2816" max="2816" width="1.453125" style="82" customWidth="1"/>
    <col min="2817" max="2817" width="13.7265625" style="82" customWidth="1"/>
    <col min="2818" max="2820" width="9.1796875" style="82"/>
    <col min="2821" max="2821" width="10.26953125" style="82" bestFit="1" customWidth="1"/>
    <col min="2822" max="2823" width="9.1796875" style="82"/>
    <col min="2824" max="2824" width="11.26953125" style="82" bestFit="1" customWidth="1"/>
    <col min="2825" max="3063" width="9.1796875" style="82"/>
    <col min="3064" max="3064" width="2.54296875" style="82" customWidth="1"/>
    <col min="3065" max="3065" width="48.453125" style="82" customWidth="1"/>
    <col min="3066" max="3066" width="1.54296875" style="82" customWidth="1"/>
    <col min="3067" max="3067" width="13.7265625" style="82" customWidth="1"/>
    <col min="3068" max="3068" width="1.453125" style="82" customWidth="1"/>
    <col min="3069" max="3069" width="13.7265625" style="82" customWidth="1"/>
    <col min="3070" max="3070" width="1.453125" style="82" customWidth="1"/>
    <col min="3071" max="3071" width="13.7265625" style="82" customWidth="1"/>
    <col min="3072" max="3072" width="1.453125" style="82" customWidth="1"/>
    <col min="3073" max="3073" width="13.7265625" style="82" customWidth="1"/>
    <col min="3074" max="3076" width="9.1796875" style="82"/>
    <col min="3077" max="3077" width="10.26953125" style="82" bestFit="1" customWidth="1"/>
    <col min="3078" max="3079" width="9.1796875" style="82"/>
    <col min="3080" max="3080" width="11.26953125" style="82" bestFit="1" customWidth="1"/>
    <col min="3081" max="3319" width="9.1796875" style="82"/>
    <col min="3320" max="3320" width="2.54296875" style="82" customWidth="1"/>
    <col min="3321" max="3321" width="48.453125" style="82" customWidth="1"/>
    <col min="3322" max="3322" width="1.54296875" style="82" customWidth="1"/>
    <col min="3323" max="3323" width="13.7265625" style="82" customWidth="1"/>
    <col min="3324" max="3324" width="1.453125" style="82" customWidth="1"/>
    <col min="3325" max="3325" width="13.7265625" style="82" customWidth="1"/>
    <col min="3326" max="3326" width="1.453125" style="82" customWidth="1"/>
    <col min="3327" max="3327" width="13.7265625" style="82" customWidth="1"/>
    <col min="3328" max="3328" width="1.453125" style="82" customWidth="1"/>
    <col min="3329" max="3329" width="13.7265625" style="82" customWidth="1"/>
    <col min="3330" max="3332" width="9.1796875" style="82"/>
    <col min="3333" max="3333" width="10.26953125" style="82" bestFit="1" customWidth="1"/>
    <col min="3334" max="3335" width="9.1796875" style="82"/>
    <col min="3336" max="3336" width="11.26953125" style="82" bestFit="1" customWidth="1"/>
    <col min="3337" max="3575" width="9.1796875" style="82"/>
    <col min="3576" max="3576" width="2.54296875" style="82" customWidth="1"/>
    <col min="3577" max="3577" width="48.453125" style="82" customWidth="1"/>
    <col min="3578" max="3578" width="1.54296875" style="82" customWidth="1"/>
    <col min="3579" max="3579" width="13.7265625" style="82" customWidth="1"/>
    <col min="3580" max="3580" width="1.453125" style="82" customWidth="1"/>
    <col min="3581" max="3581" width="13.7265625" style="82" customWidth="1"/>
    <col min="3582" max="3582" width="1.453125" style="82" customWidth="1"/>
    <col min="3583" max="3583" width="13.7265625" style="82" customWidth="1"/>
    <col min="3584" max="3584" width="1.453125" style="82" customWidth="1"/>
    <col min="3585" max="3585" width="13.7265625" style="82" customWidth="1"/>
    <col min="3586" max="3588" width="9.1796875" style="82"/>
    <col min="3589" max="3589" width="10.26953125" style="82" bestFit="1" customWidth="1"/>
    <col min="3590" max="3591" width="9.1796875" style="82"/>
    <col min="3592" max="3592" width="11.26953125" style="82" bestFit="1" customWidth="1"/>
    <col min="3593" max="3831" width="9.1796875" style="82"/>
    <col min="3832" max="3832" width="2.54296875" style="82" customWidth="1"/>
    <col min="3833" max="3833" width="48.453125" style="82" customWidth="1"/>
    <col min="3834" max="3834" width="1.54296875" style="82" customWidth="1"/>
    <col min="3835" max="3835" width="13.7265625" style="82" customWidth="1"/>
    <col min="3836" max="3836" width="1.453125" style="82" customWidth="1"/>
    <col min="3837" max="3837" width="13.7265625" style="82" customWidth="1"/>
    <col min="3838" max="3838" width="1.453125" style="82" customWidth="1"/>
    <col min="3839" max="3839" width="13.7265625" style="82" customWidth="1"/>
    <col min="3840" max="3840" width="1.453125" style="82" customWidth="1"/>
    <col min="3841" max="3841" width="13.7265625" style="82" customWidth="1"/>
    <col min="3842" max="3844" width="9.1796875" style="82"/>
    <col min="3845" max="3845" width="10.26953125" style="82" bestFit="1" customWidth="1"/>
    <col min="3846" max="3847" width="9.1796875" style="82"/>
    <col min="3848" max="3848" width="11.26953125" style="82" bestFit="1" customWidth="1"/>
    <col min="3849" max="4087" width="9.1796875" style="82"/>
    <col min="4088" max="4088" width="2.54296875" style="82" customWidth="1"/>
    <col min="4089" max="4089" width="48.453125" style="82" customWidth="1"/>
    <col min="4090" max="4090" width="1.54296875" style="82" customWidth="1"/>
    <col min="4091" max="4091" width="13.7265625" style="82" customWidth="1"/>
    <col min="4092" max="4092" width="1.453125" style="82" customWidth="1"/>
    <col min="4093" max="4093" width="13.7265625" style="82" customWidth="1"/>
    <col min="4094" max="4094" width="1.453125" style="82" customWidth="1"/>
    <col min="4095" max="4095" width="13.7265625" style="82" customWidth="1"/>
    <col min="4096" max="4096" width="1.453125" style="82" customWidth="1"/>
    <col min="4097" max="4097" width="13.7265625" style="82" customWidth="1"/>
    <col min="4098" max="4100" width="9.1796875" style="82"/>
    <col min="4101" max="4101" width="10.26953125" style="82" bestFit="1" customWidth="1"/>
    <col min="4102" max="4103" width="9.1796875" style="82"/>
    <col min="4104" max="4104" width="11.26953125" style="82" bestFit="1" customWidth="1"/>
    <col min="4105" max="4343" width="9.1796875" style="82"/>
    <col min="4344" max="4344" width="2.54296875" style="82" customWidth="1"/>
    <col min="4345" max="4345" width="48.453125" style="82" customWidth="1"/>
    <col min="4346" max="4346" width="1.54296875" style="82" customWidth="1"/>
    <col min="4347" max="4347" width="13.7265625" style="82" customWidth="1"/>
    <col min="4348" max="4348" width="1.453125" style="82" customWidth="1"/>
    <col min="4349" max="4349" width="13.7265625" style="82" customWidth="1"/>
    <col min="4350" max="4350" width="1.453125" style="82" customWidth="1"/>
    <col min="4351" max="4351" width="13.7265625" style="82" customWidth="1"/>
    <col min="4352" max="4352" width="1.453125" style="82" customWidth="1"/>
    <col min="4353" max="4353" width="13.7265625" style="82" customWidth="1"/>
    <col min="4354" max="4356" width="9.1796875" style="82"/>
    <col min="4357" max="4357" width="10.26953125" style="82" bestFit="1" customWidth="1"/>
    <col min="4358" max="4359" width="9.1796875" style="82"/>
    <col min="4360" max="4360" width="11.26953125" style="82" bestFit="1" customWidth="1"/>
    <col min="4361" max="4599" width="9.1796875" style="82"/>
    <col min="4600" max="4600" width="2.54296875" style="82" customWidth="1"/>
    <col min="4601" max="4601" width="48.453125" style="82" customWidth="1"/>
    <col min="4602" max="4602" width="1.54296875" style="82" customWidth="1"/>
    <col min="4603" max="4603" width="13.7265625" style="82" customWidth="1"/>
    <col min="4604" max="4604" width="1.453125" style="82" customWidth="1"/>
    <col min="4605" max="4605" width="13.7265625" style="82" customWidth="1"/>
    <col min="4606" max="4606" width="1.453125" style="82" customWidth="1"/>
    <col min="4607" max="4607" width="13.7265625" style="82" customWidth="1"/>
    <col min="4608" max="4608" width="1.453125" style="82" customWidth="1"/>
    <col min="4609" max="4609" width="13.7265625" style="82" customWidth="1"/>
    <col min="4610" max="4612" width="9.1796875" style="82"/>
    <col min="4613" max="4613" width="10.26953125" style="82" bestFit="1" customWidth="1"/>
    <col min="4614" max="4615" width="9.1796875" style="82"/>
    <col min="4616" max="4616" width="11.26953125" style="82" bestFit="1" customWidth="1"/>
    <col min="4617" max="4855" width="9.1796875" style="82"/>
    <col min="4856" max="4856" width="2.54296875" style="82" customWidth="1"/>
    <col min="4857" max="4857" width="48.453125" style="82" customWidth="1"/>
    <col min="4858" max="4858" width="1.54296875" style="82" customWidth="1"/>
    <col min="4859" max="4859" width="13.7265625" style="82" customWidth="1"/>
    <col min="4860" max="4860" width="1.453125" style="82" customWidth="1"/>
    <col min="4861" max="4861" width="13.7265625" style="82" customWidth="1"/>
    <col min="4862" max="4862" width="1.453125" style="82" customWidth="1"/>
    <col min="4863" max="4863" width="13.7265625" style="82" customWidth="1"/>
    <col min="4864" max="4864" width="1.453125" style="82" customWidth="1"/>
    <col min="4865" max="4865" width="13.7265625" style="82" customWidth="1"/>
    <col min="4866" max="4868" width="9.1796875" style="82"/>
    <col min="4869" max="4869" width="10.26953125" style="82" bestFit="1" customWidth="1"/>
    <col min="4870" max="4871" width="9.1796875" style="82"/>
    <col min="4872" max="4872" width="11.26953125" style="82" bestFit="1" customWidth="1"/>
    <col min="4873" max="5111" width="9.1796875" style="82"/>
    <col min="5112" max="5112" width="2.54296875" style="82" customWidth="1"/>
    <col min="5113" max="5113" width="48.453125" style="82" customWidth="1"/>
    <col min="5114" max="5114" width="1.54296875" style="82" customWidth="1"/>
    <col min="5115" max="5115" width="13.7265625" style="82" customWidth="1"/>
    <col min="5116" max="5116" width="1.453125" style="82" customWidth="1"/>
    <col min="5117" max="5117" width="13.7265625" style="82" customWidth="1"/>
    <col min="5118" max="5118" width="1.453125" style="82" customWidth="1"/>
    <col min="5119" max="5119" width="13.7265625" style="82" customWidth="1"/>
    <col min="5120" max="5120" width="1.453125" style="82" customWidth="1"/>
    <col min="5121" max="5121" width="13.7265625" style="82" customWidth="1"/>
    <col min="5122" max="5124" width="9.1796875" style="82"/>
    <col min="5125" max="5125" width="10.26953125" style="82" bestFit="1" customWidth="1"/>
    <col min="5126" max="5127" width="9.1796875" style="82"/>
    <col min="5128" max="5128" width="11.26953125" style="82" bestFit="1" customWidth="1"/>
    <col min="5129" max="5367" width="9.1796875" style="82"/>
    <col min="5368" max="5368" width="2.54296875" style="82" customWidth="1"/>
    <col min="5369" max="5369" width="48.453125" style="82" customWidth="1"/>
    <col min="5370" max="5370" width="1.54296875" style="82" customWidth="1"/>
    <col min="5371" max="5371" width="13.7265625" style="82" customWidth="1"/>
    <col min="5372" max="5372" width="1.453125" style="82" customWidth="1"/>
    <col min="5373" max="5373" width="13.7265625" style="82" customWidth="1"/>
    <col min="5374" max="5374" width="1.453125" style="82" customWidth="1"/>
    <col min="5375" max="5375" width="13.7265625" style="82" customWidth="1"/>
    <col min="5376" max="5376" width="1.453125" style="82" customWidth="1"/>
    <col min="5377" max="5377" width="13.7265625" style="82" customWidth="1"/>
    <col min="5378" max="5380" width="9.1796875" style="82"/>
    <col min="5381" max="5381" width="10.26953125" style="82" bestFit="1" customWidth="1"/>
    <col min="5382" max="5383" width="9.1796875" style="82"/>
    <col min="5384" max="5384" width="11.26953125" style="82" bestFit="1" customWidth="1"/>
    <col min="5385" max="5623" width="9.1796875" style="82"/>
    <col min="5624" max="5624" width="2.54296875" style="82" customWidth="1"/>
    <col min="5625" max="5625" width="48.453125" style="82" customWidth="1"/>
    <col min="5626" max="5626" width="1.54296875" style="82" customWidth="1"/>
    <col min="5627" max="5627" width="13.7265625" style="82" customWidth="1"/>
    <col min="5628" max="5628" width="1.453125" style="82" customWidth="1"/>
    <col min="5629" max="5629" width="13.7265625" style="82" customWidth="1"/>
    <col min="5630" max="5630" width="1.453125" style="82" customWidth="1"/>
    <col min="5631" max="5631" width="13.7265625" style="82" customWidth="1"/>
    <col min="5632" max="5632" width="1.453125" style="82" customWidth="1"/>
    <col min="5633" max="5633" width="13.7265625" style="82" customWidth="1"/>
    <col min="5634" max="5636" width="9.1796875" style="82"/>
    <col min="5637" max="5637" width="10.26953125" style="82" bestFit="1" customWidth="1"/>
    <col min="5638" max="5639" width="9.1796875" style="82"/>
    <col min="5640" max="5640" width="11.26953125" style="82" bestFit="1" customWidth="1"/>
    <col min="5641" max="5879" width="9.1796875" style="82"/>
    <col min="5880" max="5880" width="2.54296875" style="82" customWidth="1"/>
    <col min="5881" max="5881" width="48.453125" style="82" customWidth="1"/>
    <col min="5882" max="5882" width="1.54296875" style="82" customWidth="1"/>
    <col min="5883" max="5883" width="13.7265625" style="82" customWidth="1"/>
    <col min="5884" max="5884" width="1.453125" style="82" customWidth="1"/>
    <col min="5885" max="5885" width="13.7265625" style="82" customWidth="1"/>
    <col min="5886" max="5886" width="1.453125" style="82" customWidth="1"/>
    <col min="5887" max="5887" width="13.7265625" style="82" customWidth="1"/>
    <col min="5888" max="5888" width="1.453125" style="82" customWidth="1"/>
    <col min="5889" max="5889" width="13.7265625" style="82" customWidth="1"/>
    <col min="5890" max="5892" width="9.1796875" style="82"/>
    <col min="5893" max="5893" width="10.26953125" style="82" bestFit="1" customWidth="1"/>
    <col min="5894" max="5895" width="9.1796875" style="82"/>
    <col min="5896" max="5896" width="11.26953125" style="82" bestFit="1" customWidth="1"/>
    <col min="5897" max="6135" width="9.1796875" style="82"/>
    <col min="6136" max="6136" width="2.54296875" style="82" customWidth="1"/>
    <col min="6137" max="6137" width="48.453125" style="82" customWidth="1"/>
    <col min="6138" max="6138" width="1.54296875" style="82" customWidth="1"/>
    <col min="6139" max="6139" width="13.7265625" style="82" customWidth="1"/>
    <col min="6140" max="6140" width="1.453125" style="82" customWidth="1"/>
    <col min="6141" max="6141" width="13.7265625" style="82" customWidth="1"/>
    <col min="6142" max="6142" width="1.453125" style="82" customWidth="1"/>
    <col min="6143" max="6143" width="13.7265625" style="82" customWidth="1"/>
    <col min="6144" max="6144" width="1.453125" style="82" customWidth="1"/>
    <col min="6145" max="6145" width="13.7265625" style="82" customWidth="1"/>
    <col min="6146" max="6148" width="9.1796875" style="82"/>
    <col min="6149" max="6149" width="10.26953125" style="82" bestFit="1" customWidth="1"/>
    <col min="6150" max="6151" width="9.1796875" style="82"/>
    <col min="6152" max="6152" width="11.26953125" style="82" bestFit="1" customWidth="1"/>
    <col min="6153" max="6391" width="9.1796875" style="82"/>
    <col min="6392" max="6392" width="2.54296875" style="82" customWidth="1"/>
    <col min="6393" max="6393" width="48.453125" style="82" customWidth="1"/>
    <col min="6394" max="6394" width="1.54296875" style="82" customWidth="1"/>
    <col min="6395" max="6395" width="13.7265625" style="82" customWidth="1"/>
    <col min="6396" max="6396" width="1.453125" style="82" customWidth="1"/>
    <col min="6397" max="6397" width="13.7265625" style="82" customWidth="1"/>
    <col min="6398" max="6398" width="1.453125" style="82" customWidth="1"/>
    <col min="6399" max="6399" width="13.7265625" style="82" customWidth="1"/>
    <col min="6400" max="6400" width="1.453125" style="82" customWidth="1"/>
    <col min="6401" max="6401" width="13.7265625" style="82" customWidth="1"/>
    <col min="6402" max="6404" width="9.1796875" style="82"/>
    <col min="6405" max="6405" width="10.26953125" style="82" bestFit="1" customWidth="1"/>
    <col min="6406" max="6407" width="9.1796875" style="82"/>
    <col min="6408" max="6408" width="11.26953125" style="82" bestFit="1" customWidth="1"/>
    <col min="6409" max="6647" width="9.1796875" style="82"/>
    <col min="6648" max="6648" width="2.54296875" style="82" customWidth="1"/>
    <col min="6649" max="6649" width="48.453125" style="82" customWidth="1"/>
    <col min="6650" max="6650" width="1.54296875" style="82" customWidth="1"/>
    <col min="6651" max="6651" width="13.7265625" style="82" customWidth="1"/>
    <col min="6652" max="6652" width="1.453125" style="82" customWidth="1"/>
    <col min="6653" max="6653" width="13.7265625" style="82" customWidth="1"/>
    <col min="6654" max="6654" width="1.453125" style="82" customWidth="1"/>
    <col min="6655" max="6655" width="13.7265625" style="82" customWidth="1"/>
    <col min="6656" max="6656" width="1.453125" style="82" customWidth="1"/>
    <col min="6657" max="6657" width="13.7265625" style="82" customWidth="1"/>
    <col min="6658" max="6660" width="9.1796875" style="82"/>
    <col min="6661" max="6661" width="10.26953125" style="82" bestFit="1" customWidth="1"/>
    <col min="6662" max="6663" width="9.1796875" style="82"/>
    <col min="6664" max="6664" width="11.26953125" style="82" bestFit="1" customWidth="1"/>
    <col min="6665" max="6903" width="9.1796875" style="82"/>
    <col min="6904" max="6904" width="2.54296875" style="82" customWidth="1"/>
    <col min="6905" max="6905" width="48.453125" style="82" customWidth="1"/>
    <col min="6906" max="6906" width="1.54296875" style="82" customWidth="1"/>
    <col min="6907" max="6907" width="13.7265625" style="82" customWidth="1"/>
    <col min="6908" max="6908" width="1.453125" style="82" customWidth="1"/>
    <col min="6909" max="6909" width="13.7265625" style="82" customWidth="1"/>
    <col min="6910" max="6910" width="1.453125" style="82" customWidth="1"/>
    <col min="6911" max="6911" width="13.7265625" style="82" customWidth="1"/>
    <col min="6912" max="6912" width="1.453125" style="82" customWidth="1"/>
    <col min="6913" max="6913" width="13.7265625" style="82" customWidth="1"/>
    <col min="6914" max="6916" width="9.1796875" style="82"/>
    <col min="6917" max="6917" width="10.26953125" style="82" bestFit="1" customWidth="1"/>
    <col min="6918" max="6919" width="9.1796875" style="82"/>
    <col min="6920" max="6920" width="11.26953125" style="82" bestFit="1" customWidth="1"/>
    <col min="6921" max="7159" width="9.1796875" style="82"/>
    <col min="7160" max="7160" width="2.54296875" style="82" customWidth="1"/>
    <col min="7161" max="7161" width="48.453125" style="82" customWidth="1"/>
    <col min="7162" max="7162" width="1.54296875" style="82" customWidth="1"/>
    <col min="7163" max="7163" width="13.7265625" style="82" customWidth="1"/>
    <col min="7164" max="7164" width="1.453125" style="82" customWidth="1"/>
    <col min="7165" max="7165" width="13.7265625" style="82" customWidth="1"/>
    <col min="7166" max="7166" width="1.453125" style="82" customWidth="1"/>
    <col min="7167" max="7167" width="13.7265625" style="82" customWidth="1"/>
    <col min="7168" max="7168" width="1.453125" style="82" customWidth="1"/>
    <col min="7169" max="7169" width="13.7265625" style="82" customWidth="1"/>
    <col min="7170" max="7172" width="9.1796875" style="82"/>
    <col min="7173" max="7173" width="10.26953125" style="82" bestFit="1" customWidth="1"/>
    <col min="7174" max="7175" width="9.1796875" style="82"/>
    <col min="7176" max="7176" width="11.26953125" style="82" bestFit="1" customWidth="1"/>
    <col min="7177" max="7415" width="9.1796875" style="82"/>
    <col min="7416" max="7416" width="2.54296875" style="82" customWidth="1"/>
    <col min="7417" max="7417" width="48.453125" style="82" customWidth="1"/>
    <col min="7418" max="7418" width="1.54296875" style="82" customWidth="1"/>
    <col min="7419" max="7419" width="13.7265625" style="82" customWidth="1"/>
    <col min="7420" max="7420" width="1.453125" style="82" customWidth="1"/>
    <col min="7421" max="7421" width="13.7265625" style="82" customWidth="1"/>
    <col min="7422" max="7422" width="1.453125" style="82" customWidth="1"/>
    <col min="7423" max="7423" width="13.7265625" style="82" customWidth="1"/>
    <col min="7424" max="7424" width="1.453125" style="82" customWidth="1"/>
    <col min="7425" max="7425" width="13.7265625" style="82" customWidth="1"/>
    <col min="7426" max="7428" width="9.1796875" style="82"/>
    <col min="7429" max="7429" width="10.26953125" style="82" bestFit="1" customWidth="1"/>
    <col min="7430" max="7431" width="9.1796875" style="82"/>
    <col min="7432" max="7432" width="11.26953125" style="82" bestFit="1" customWidth="1"/>
    <col min="7433" max="7671" width="9.1796875" style="82"/>
    <col min="7672" max="7672" width="2.54296875" style="82" customWidth="1"/>
    <col min="7673" max="7673" width="48.453125" style="82" customWidth="1"/>
    <col min="7674" max="7674" width="1.54296875" style="82" customWidth="1"/>
    <col min="7675" max="7675" width="13.7265625" style="82" customWidth="1"/>
    <col min="7676" max="7676" width="1.453125" style="82" customWidth="1"/>
    <col min="7677" max="7677" width="13.7265625" style="82" customWidth="1"/>
    <col min="7678" max="7678" width="1.453125" style="82" customWidth="1"/>
    <col min="7679" max="7679" width="13.7265625" style="82" customWidth="1"/>
    <col min="7680" max="7680" width="1.453125" style="82" customWidth="1"/>
    <col min="7681" max="7681" width="13.7265625" style="82" customWidth="1"/>
    <col min="7682" max="7684" width="9.1796875" style="82"/>
    <col min="7685" max="7685" width="10.26953125" style="82" bestFit="1" customWidth="1"/>
    <col min="7686" max="7687" width="9.1796875" style="82"/>
    <col min="7688" max="7688" width="11.26953125" style="82" bestFit="1" customWidth="1"/>
    <col min="7689" max="7927" width="9.1796875" style="82"/>
    <col min="7928" max="7928" width="2.54296875" style="82" customWidth="1"/>
    <col min="7929" max="7929" width="48.453125" style="82" customWidth="1"/>
    <col min="7930" max="7930" width="1.54296875" style="82" customWidth="1"/>
    <col min="7931" max="7931" width="13.7265625" style="82" customWidth="1"/>
    <col min="7932" max="7932" width="1.453125" style="82" customWidth="1"/>
    <col min="7933" max="7933" width="13.7265625" style="82" customWidth="1"/>
    <col min="7934" max="7934" width="1.453125" style="82" customWidth="1"/>
    <col min="7935" max="7935" width="13.7265625" style="82" customWidth="1"/>
    <col min="7936" max="7936" width="1.453125" style="82" customWidth="1"/>
    <col min="7937" max="7937" width="13.7265625" style="82" customWidth="1"/>
    <col min="7938" max="7940" width="9.1796875" style="82"/>
    <col min="7941" max="7941" width="10.26953125" style="82" bestFit="1" customWidth="1"/>
    <col min="7942" max="7943" width="9.1796875" style="82"/>
    <col min="7944" max="7944" width="11.26953125" style="82" bestFit="1" customWidth="1"/>
    <col min="7945" max="8183" width="9.1796875" style="82"/>
    <col min="8184" max="8184" width="2.54296875" style="82" customWidth="1"/>
    <col min="8185" max="8185" width="48.453125" style="82" customWidth="1"/>
    <col min="8186" max="8186" width="1.54296875" style="82" customWidth="1"/>
    <col min="8187" max="8187" width="13.7265625" style="82" customWidth="1"/>
    <col min="8188" max="8188" width="1.453125" style="82" customWidth="1"/>
    <col min="8189" max="8189" width="13.7265625" style="82" customWidth="1"/>
    <col min="8190" max="8190" width="1.453125" style="82" customWidth="1"/>
    <col min="8191" max="8191" width="13.7265625" style="82" customWidth="1"/>
    <col min="8192" max="8192" width="1.453125" style="82" customWidth="1"/>
    <col min="8193" max="8193" width="13.7265625" style="82" customWidth="1"/>
    <col min="8194" max="8196" width="9.1796875" style="82"/>
    <col min="8197" max="8197" width="10.26953125" style="82" bestFit="1" customWidth="1"/>
    <col min="8198" max="8199" width="9.1796875" style="82"/>
    <col min="8200" max="8200" width="11.26953125" style="82" bestFit="1" customWidth="1"/>
    <col min="8201" max="8439" width="9.1796875" style="82"/>
    <col min="8440" max="8440" width="2.54296875" style="82" customWidth="1"/>
    <col min="8441" max="8441" width="48.453125" style="82" customWidth="1"/>
    <col min="8442" max="8442" width="1.54296875" style="82" customWidth="1"/>
    <col min="8443" max="8443" width="13.7265625" style="82" customWidth="1"/>
    <col min="8444" max="8444" width="1.453125" style="82" customWidth="1"/>
    <col min="8445" max="8445" width="13.7265625" style="82" customWidth="1"/>
    <col min="8446" max="8446" width="1.453125" style="82" customWidth="1"/>
    <col min="8447" max="8447" width="13.7265625" style="82" customWidth="1"/>
    <col min="8448" max="8448" width="1.453125" style="82" customWidth="1"/>
    <col min="8449" max="8449" width="13.7265625" style="82" customWidth="1"/>
    <col min="8450" max="8452" width="9.1796875" style="82"/>
    <col min="8453" max="8453" width="10.26953125" style="82" bestFit="1" customWidth="1"/>
    <col min="8454" max="8455" width="9.1796875" style="82"/>
    <col min="8456" max="8456" width="11.26953125" style="82" bestFit="1" customWidth="1"/>
    <col min="8457" max="8695" width="9.1796875" style="82"/>
    <col min="8696" max="8696" width="2.54296875" style="82" customWidth="1"/>
    <col min="8697" max="8697" width="48.453125" style="82" customWidth="1"/>
    <col min="8698" max="8698" width="1.54296875" style="82" customWidth="1"/>
    <col min="8699" max="8699" width="13.7265625" style="82" customWidth="1"/>
    <col min="8700" max="8700" width="1.453125" style="82" customWidth="1"/>
    <col min="8701" max="8701" width="13.7265625" style="82" customWidth="1"/>
    <col min="8702" max="8702" width="1.453125" style="82" customWidth="1"/>
    <col min="8703" max="8703" width="13.7265625" style="82" customWidth="1"/>
    <col min="8704" max="8704" width="1.453125" style="82" customWidth="1"/>
    <col min="8705" max="8705" width="13.7265625" style="82" customWidth="1"/>
    <col min="8706" max="8708" width="9.1796875" style="82"/>
    <col min="8709" max="8709" width="10.26953125" style="82" bestFit="1" customWidth="1"/>
    <col min="8710" max="8711" width="9.1796875" style="82"/>
    <col min="8712" max="8712" width="11.26953125" style="82" bestFit="1" customWidth="1"/>
    <col min="8713" max="8951" width="9.1796875" style="82"/>
    <col min="8952" max="8952" width="2.54296875" style="82" customWidth="1"/>
    <col min="8953" max="8953" width="48.453125" style="82" customWidth="1"/>
    <col min="8954" max="8954" width="1.54296875" style="82" customWidth="1"/>
    <col min="8955" max="8955" width="13.7265625" style="82" customWidth="1"/>
    <col min="8956" max="8956" width="1.453125" style="82" customWidth="1"/>
    <col min="8957" max="8957" width="13.7265625" style="82" customWidth="1"/>
    <col min="8958" max="8958" width="1.453125" style="82" customWidth="1"/>
    <col min="8959" max="8959" width="13.7265625" style="82" customWidth="1"/>
    <col min="8960" max="8960" width="1.453125" style="82" customWidth="1"/>
    <col min="8961" max="8961" width="13.7265625" style="82" customWidth="1"/>
    <col min="8962" max="8964" width="9.1796875" style="82"/>
    <col min="8965" max="8965" width="10.26953125" style="82" bestFit="1" customWidth="1"/>
    <col min="8966" max="8967" width="9.1796875" style="82"/>
    <col min="8968" max="8968" width="11.26953125" style="82" bestFit="1" customWidth="1"/>
    <col min="8969" max="9207" width="9.1796875" style="82"/>
    <col min="9208" max="9208" width="2.54296875" style="82" customWidth="1"/>
    <col min="9209" max="9209" width="48.453125" style="82" customWidth="1"/>
    <col min="9210" max="9210" width="1.54296875" style="82" customWidth="1"/>
    <col min="9211" max="9211" width="13.7265625" style="82" customWidth="1"/>
    <col min="9212" max="9212" width="1.453125" style="82" customWidth="1"/>
    <col min="9213" max="9213" width="13.7265625" style="82" customWidth="1"/>
    <col min="9214" max="9214" width="1.453125" style="82" customWidth="1"/>
    <col min="9215" max="9215" width="13.7265625" style="82" customWidth="1"/>
    <col min="9216" max="9216" width="1.453125" style="82" customWidth="1"/>
    <col min="9217" max="9217" width="13.7265625" style="82" customWidth="1"/>
    <col min="9218" max="9220" width="9.1796875" style="82"/>
    <col min="9221" max="9221" width="10.26953125" style="82" bestFit="1" customWidth="1"/>
    <col min="9222" max="9223" width="9.1796875" style="82"/>
    <col min="9224" max="9224" width="11.26953125" style="82" bestFit="1" customWidth="1"/>
    <col min="9225" max="9463" width="9.1796875" style="82"/>
    <col min="9464" max="9464" width="2.54296875" style="82" customWidth="1"/>
    <col min="9465" max="9465" width="48.453125" style="82" customWidth="1"/>
    <col min="9466" max="9466" width="1.54296875" style="82" customWidth="1"/>
    <col min="9467" max="9467" width="13.7265625" style="82" customWidth="1"/>
    <col min="9468" max="9468" width="1.453125" style="82" customWidth="1"/>
    <col min="9469" max="9469" width="13.7265625" style="82" customWidth="1"/>
    <col min="9470" max="9470" width="1.453125" style="82" customWidth="1"/>
    <col min="9471" max="9471" width="13.7265625" style="82" customWidth="1"/>
    <col min="9472" max="9472" width="1.453125" style="82" customWidth="1"/>
    <col min="9473" max="9473" width="13.7265625" style="82" customWidth="1"/>
    <col min="9474" max="9476" width="9.1796875" style="82"/>
    <col min="9477" max="9477" width="10.26953125" style="82" bestFit="1" customWidth="1"/>
    <col min="9478" max="9479" width="9.1796875" style="82"/>
    <col min="9480" max="9480" width="11.26953125" style="82" bestFit="1" customWidth="1"/>
    <col min="9481" max="9719" width="9.1796875" style="82"/>
    <col min="9720" max="9720" width="2.54296875" style="82" customWidth="1"/>
    <col min="9721" max="9721" width="48.453125" style="82" customWidth="1"/>
    <col min="9722" max="9722" width="1.54296875" style="82" customWidth="1"/>
    <col min="9723" max="9723" width="13.7265625" style="82" customWidth="1"/>
    <col min="9724" max="9724" width="1.453125" style="82" customWidth="1"/>
    <col min="9725" max="9725" width="13.7265625" style="82" customWidth="1"/>
    <col min="9726" max="9726" width="1.453125" style="82" customWidth="1"/>
    <col min="9727" max="9727" width="13.7265625" style="82" customWidth="1"/>
    <col min="9728" max="9728" width="1.453125" style="82" customWidth="1"/>
    <col min="9729" max="9729" width="13.7265625" style="82" customWidth="1"/>
    <col min="9730" max="9732" width="9.1796875" style="82"/>
    <col min="9733" max="9733" width="10.26953125" style="82" bestFit="1" customWidth="1"/>
    <col min="9734" max="9735" width="9.1796875" style="82"/>
    <col min="9736" max="9736" width="11.26953125" style="82" bestFit="1" customWidth="1"/>
    <col min="9737" max="9975" width="9.1796875" style="82"/>
    <col min="9976" max="9976" width="2.54296875" style="82" customWidth="1"/>
    <col min="9977" max="9977" width="48.453125" style="82" customWidth="1"/>
    <col min="9978" max="9978" width="1.54296875" style="82" customWidth="1"/>
    <col min="9979" max="9979" width="13.7265625" style="82" customWidth="1"/>
    <col min="9980" max="9980" width="1.453125" style="82" customWidth="1"/>
    <col min="9981" max="9981" width="13.7265625" style="82" customWidth="1"/>
    <col min="9982" max="9982" width="1.453125" style="82" customWidth="1"/>
    <col min="9983" max="9983" width="13.7265625" style="82" customWidth="1"/>
    <col min="9984" max="9984" width="1.453125" style="82" customWidth="1"/>
    <col min="9985" max="9985" width="13.7265625" style="82" customWidth="1"/>
    <col min="9986" max="9988" width="9.1796875" style="82"/>
    <col min="9989" max="9989" width="10.26953125" style="82" bestFit="1" customWidth="1"/>
    <col min="9990" max="9991" width="9.1796875" style="82"/>
    <col min="9992" max="9992" width="11.26953125" style="82" bestFit="1" customWidth="1"/>
    <col min="9993" max="10231" width="9.1796875" style="82"/>
    <col min="10232" max="10232" width="2.54296875" style="82" customWidth="1"/>
    <col min="10233" max="10233" width="48.453125" style="82" customWidth="1"/>
    <col min="10234" max="10234" width="1.54296875" style="82" customWidth="1"/>
    <col min="10235" max="10235" width="13.7265625" style="82" customWidth="1"/>
    <col min="10236" max="10236" width="1.453125" style="82" customWidth="1"/>
    <col min="10237" max="10237" width="13.7265625" style="82" customWidth="1"/>
    <col min="10238" max="10238" width="1.453125" style="82" customWidth="1"/>
    <col min="10239" max="10239" width="13.7265625" style="82" customWidth="1"/>
    <col min="10240" max="10240" width="1.453125" style="82" customWidth="1"/>
    <col min="10241" max="10241" width="13.7265625" style="82" customWidth="1"/>
    <col min="10242" max="10244" width="9.1796875" style="82"/>
    <col min="10245" max="10245" width="10.26953125" style="82" bestFit="1" customWidth="1"/>
    <col min="10246" max="10247" width="9.1796875" style="82"/>
    <col min="10248" max="10248" width="11.26953125" style="82" bestFit="1" customWidth="1"/>
    <col min="10249" max="10487" width="9.1796875" style="82"/>
    <col min="10488" max="10488" width="2.54296875" style="82" customWidth="1"/>
    <col min="10489" max="10489" width="48.453125" style="82" customWidth="1"/>
    <col min="10490" max="10490" width="1.54296875" style="82" customWidth="1"/>
    <col min="10491" max="10491" width="13.7265625" style="82" customWidth="1"/>
    <col min="10492" max="10492" width="1.453125" style="82" customWidth="1"/>
    <col min="10493" max="10493" width="13.7265625" style="82" customWidth="1"/>
    <col min="10494" max="10494" width="1.453125" style="82" customWidth="1"/>
    <col min="10495" max="10495" width="13.7265625" style="82" customWidth="1"/>
    <col min="10496" max="10496" width="1.453125" style="82" customWidth="1"/>
    <col min="10497" max="10497" width="13.7265625" style="82" customWidth="1"/>
    <col min="10498" max="10500" width="9.1796875" style="82"/>
    <col min="10501" max="10501" width="10.26953125" style="82" bestFit="1" customWidth="1"/>
    <col min="10502" max="10503" width="9.1796875" style="82"/>
    <col min="10504" max="10504" width="11.26953125" style="82" bestFit="1" customWidth="1"/>
    <col min="10505" max="10743" width="9.1796875" style="82"/>
    <col min="10744" max="10744" width="2.54296875" style="82" customWidth="1"/>
    <col min="10745" max="10745" width="48.453125" style="82" customWidth="1"/>
    <col min="10746" max="10746" width="1.54296875" style="82" customWidth="1"/>
    <col min="10747" max="10747" width="13.7265625" style="82" customWidth="1"/>
    <col min="10748" max="10748" width="1.453125" style="82" customWidth="1"/>
    <col min="10749" max="10749" width="13.7265625" style="82" customWidth="1"/>
    <col min="10750" max="10750" width="1.453125" style="82" customWidth="1"/>
    <col min="10751" max="10751" width="13.7265625" style="82" customWidth="1"/>
    <col min="10752" max="10752" width="1.453125" style="82" customWidth="1"/>
    <col min="10753" max="10753" width="13.7265625" style="82" customWidth="1"/>
    <col min="10754" max="10756" width="9.1796875" style="82"/>
    <col min="10757" max="10757" width="10.26953125" style="82" bestFit="1" customWidth="1"/>
    <col min="10758" max="10759" width="9.1796875" style="82"/>
    <col min="10760" max="10760" width="11.26953125" style="82" bestFit="1" customWidth="1"/>
    <col min="10761" max="10999" width="9.1796875" style="82"/>
    <col min="11000" max="11000" width="2.54296875" style="82" customWidth="1"/>
    <col min="11001" max="11001" width="48.453125" style="82" customWidth="1"/>
    <col min="11002" max="11002" width="1.54296875" style="82" customWidth="1"/>
    <col min="11003" max="11003" width="13.7265625" style="82" customWidth="1"/>
    <col min="11004" max="11004" width="1.453125" style="82" customWidth="1"/>
    <col min="11005" max="11005" width="13.7265625" style="82" customWidth="1"/>
    <col min="11006" max="11006" width="1.453125" style="82" customWidth="1"/>
    <col min="11007" max="11007" width="13.7265625" style="82" customWidth="1"/>
    <col min="11008" max="11008" width="1.453125" style="82" customWidth="1"/>
    <col min="11009" max="11009" width="13.7265625" style="82" customWidth="1"/>
    <col min="11010" max="11012" width="9.1796875" style="82"/>
    <col min="11013" max="11013" width="10.26953125" style="82" bestFit="1" customWidth="1"/>
    <col min="11014" max="11015" width="9.1796875" style="82"/>
    <col min="11016" max="11016" width="11.26953125" style="82" bestFit="1" customWidth="1"/>
    <col min="11017" max="11255" width="9.1796875" style="82"/>
    <col min="11256" max="11256" width="2.54296875" style="82" customWidth="1"/>
    <col min="11257" max="11257" width="48.453125" style="82" customWidth="1"/>
    <col min="11258" max="11258" width="1.54296875" style="82" customWidth="1"/>
    <col min="11259" max="11259" width="13.7265625" style="82" customWidth="1"/>
    <col min="11260" max="11260" width="1.453125" style="82" customWidth="1"/>
    <col min="11261" max="11261" width="13.7265625" style="82" customWidth="1"/>
    <col min="11262" max="11262" width="1.453125" style="82" customWidth="1"/>
    <col min="11263" max="11263" width="13.7265625" style="82" customWidth="1"/>
    <col min="11264" max="11264" width="1.453125" style="82" customWidth="1"/>
    <col min="11265" max="11265" width="13.7265625" style="82" customWidth="1"/>
    <col min="11266" max="11268" width="9.1796875" style="82"/>
    <col min="11269" max="11269" width="10.26953125" style="82" bestFit="1" customWidth="1"/>
    <col min="11270" max="11271" width="9.1796875" style="82"/>
    <col min="11272" max="11272" width="11.26953125" style="82" bestFit="1" customWidth="1"/>
    <col min="11273" max="11511" width="9.1796875" style="82"/>
    <col min="11512" max="11512" width="2.54296875" style="82" customWidth="1"/>
    <col min="11513" max="11513" width="48.453125" style="82" customWidth="1"/>
    <col min="11514" max="11514" width="1.54296875" style="82" customWidth="1"/>
    <col min="11515" max="11515" width="13.7265625" style="82" customWidth="1"/>
    <col min="11516" max="11516" width="1.453125" style="82" customWidth="1"/>
    <col min="11517" max="11517" width="13.7265625" style="82" customWidth="1"/>
    <col min="11518" max="11518" width="1.453125" style="82" customWidth="1"/>
    <col min="11519" max="11519" width="13.7265625" style="82" customWidth="1"/>
    <col min="11520" max="11520" width="1.453125" style="82" customWidth="1"/>
    <col min="11521" max="11521" width="13.7265625" style="82" customWidth="1"/>
    <col min="11522" max="11524" width="9.1796875" style="82"/>
    <col min="11525" max="11525" width="10.26953125" style="82" bestFit="1" customWidth="1"/>
    <col min="11526" max="11527" width="9.1796875" style="82"/>
    <col min="11528" max="11528" width="11.26953125" style="82" bestFit="1" customWidth="1"/>
    <col min="11529" max="11767" width="9.1796875" style="82"/>
    <col min="11768" max="11768" width="2.54296875" style="82" customWidth="1"/>
    <col min="11769" max="11769" width="48.453125" style="82" customWidth="1"/>
    <col min="11770" max="11770" width="1.54296875" style="82" customWidth="1"/>
    <col min="11771" max="11771" width="13.7265625" style="82" customWidth="1"/>
    <col min="11772" max="11772" width="1.453125" style="82" customWidth="1"/>
    <col min="11773" max="11773" width="13.7265625" style="82" customWidth="1"/>
    <col min="11774" max="11774" width="1.453125" style="82" customWidth="1"/>
    <col min="11775" max="11775" width="13.7265625" style="82" customWidth="1"/>
    <col min="11776" max="11776" width="1.453125" style="82" customWidth="1"/>
    <col min="11777" max="11777" width="13.7265625" style="82" customWidth="1"/>
    <col min="11778" max="11780" width="9.1796875" style="82"/>
    <col min="11781" max="11781" width="10.26953125" style="82" bestFit="1" customWidth="1"/>
    <col min="11782" max="11783" width="9.1796875" style="82"/>
    <col min="11784" max="11784" width="11.26953125" style="82" bestFit="1" customWidth="1"/>
    <col min="11785" max="12023" width="9.1796875" style="82"/>
    <col min="12024" max="12024" width="2.54296875" style="82" customWidth="1"/>
    <col min="12025" max="12025" width="48.453125" style="82" customWidth="1"/>
    <col min="12026" max="12026" width="1.54296875" style="82" customWidth="1"/>
    <col min="12027" max="12027" width="13.7265625" style="82" customWidth="1"/>
    <col min="12028" max="12028" width="1.453125" style="82" customWidth="1"/>
    <col min="12029" max="12029" width="13.7265625" style="82" customWidth="1"/>
    <col min="12030" max="12030" width="1.453125" style="82" customWidth="1"/>
    <col min="12031" max="12031" width="13.7265625" style="82" customWidth="1"/>
    <col min="12032" max="12032" width="1.453125" style="82" customWidth="1"/>
    <col min="12033" max="12033" width="13.7265625" style="82" customWidth="1"/>
    <col min="12034" max="12036" width="9.1796875" style="82"/>
    <col min="12037" max="12037" width="10.26953125" style="82" bestFit="1" customWidth="1"/>
    <col min="12038" max="12039" width="9.1796875" style="82"/>
    <col min="12040" max="12040" width="11.26953125" style="82" bestFit="1" customWidth="1"/>
    <col min="12041" max="12279" width="9.1796875" style="82"/>
    <col min="12280" max="12280" width="2.54296875" style="82" customWidth="1"/>
    <col min="12281" max="12281" width="48.453125" style="82" customWidth="1"/>
    <col min="12282" max="12282" width="1.54296875" style="82" customWidth="1"/>
    <col min="12283" max="12283" width="13.7265625" style="82" customWidth="1"/>
    <col min="12284" max="12284" width="1.453125" style="82" customWidth="1"/>
    <col min="12285" max="12285" width="13.7265625" style="82" customWidth="1"/>
    <col min="12286" max="12286" width="1.453125" style="82" customWidth="1"/>
    <col min="12287" max="12287" width="13.7265625" style="82" customWidth="1"/>
    <col min="12288" max="12288" width="1.453125" style="82" customWidth="1"/>
    <col min="12289" max="12289" width="13.7265625" style="82" customWidth="1"/>
    <col min="12290" max="12292" width="9.1796875" style="82"/>
    <col min="12293" max="12293" width="10.26953125" style="82" bestFit="1" customWidth="1"/>
    <col min="12294" max="12295" width="9.1796875" style="82"/>
    <col min="12296" max="12296" width="11.26953125" style="82" bestFit="1" customWidth="1"/>
    <col min="12297" max="12535" width="9.1796875" style="82"/>
    <col min="12536" max="12536" width="2.54296875" style="82" customWidth="1"/>
    <col min="12537" max="12537" width="48.453125" style="82" customWidth="1"/>
    <col min="12538" max="12538" width="1.54296875" style="82" customWidth="1"/>
    <col min="12539" max="12539" width="13.7265625" style="82" customWidth="1"/>
    <col min="12540" max="12540" width="1.453125" style="82" customWidth="1"/>
    <col min="12541" max="12541" width="13.7265625" style="82" customWidth="1"/>
    <col min="12542" max="12542" width="1.453125" style="82" customWidth="1"/>
    <col min="12543" max="12543" width="13.7265625" style="82" customWidth="1"/>
    <col min="12544" max="12544" width="1.453125" style="82" customWidth="1"/>
    <col min="12545" max="12545" width="13.7265625" style="82" customWidth="1"/>
    <col min="12546" max="12548" width="9.1796875" style="82"/>
    <col min="12549" max="12549" width="10.26953125" style="82" bestFit="1" customWidth="1"/>
    <col min="12550" max="12551" width="9.1796875" style="82"/>
    <col min="12552" max="12552" width="11.26953125" style="82" bestFit="1" customWidth="1"/>
    <col min="12553" max="12791" width="9.1796875" style="82"/>
    <col min="12792" max="12792" width="2.54296875" style="82" customWidth="1"/>
    <col min="12793" max="12793" width="48.453125" style="82" customWidth="1"/>
    <col min="12794" max="12794" width="1.54296875" style="82" customWidth="1"/>
    <col min="12795" max="12795" width="13.7265625" style="82" customWidth="1"/>
    <col min="12796" max="12796" width="1.453125" style="82" customWidth="1"/>
    <col min="12797" max="12797" width="13.7265625" style="82" customWidth="1"/>
    <col min="12798" max="12798" width="1.453125" style="82" customWidth="1"/>
    <col min="12799" max="12799" width="13.7265625" style="82" customWidth="1"/>
    <col min="12800" max="12800" width="1.453125" style="82" customWidth="1"/>
    <col min="12801" max="12801" width="13.7265625" style="82" customWidth="1"/>
    <col min="12802" max="12804" width="9.1796875" style="82"/>
    <col min="12805" max="12805" width="10.26953125" style="82" bestFit="1" customWidth="1"/>
    <col min="12806" max="12807" width="9.1796875" style="82"/>
    <col min="12808" max="12808" width="11.26953125" style="82" bestFit="1" customWidth="1"/>
    <col min="12809" max="13047" width="9.1796875" style="82"/>
    <col min="13048" max="13048" width="2.54296875" style="82" customWidth="1"/>
    <col min="13049" max="13049" width="48.453125" style="82" customWidth="1"/>
    <col min="13050" max="13050" width="1.54296875" style="82" customWidth="1"/>
    <col min="13051" max="13051" width="13.7265625" style="82" customWidth="1"/>
    <col min="13052" max="13052" width="1.453125" style="82" customWidth="1"/>
    <col min="13053" max="13053" width="13.7265625" style="82" customWidth="1"/>
    <col min="13054" max="13054" width="1.453125" style="82" customWidth="1"/>
    <col min="13055" max="13055" width="13.7265625" style="82" customWidth="1"/>
    <col min="13056" max="13056" width="1.453125" style="82" customWidth="1"/>
    <col min="13057" max="13057" width="13.7265625" style="82" customWidth="1"/>
    <col min="13058" max="13060" width="9.1796875" style="82"/>
    <col min="13061" max="13061" width="10.26953125" style="82" bestFit="1" customWidth="1"/>
    <col min="13062" max="13063" width="9.1796875" style="82"/>
    <col min="13064" max="13064" width="11.26953125" style="82" bestFit="1" customWidth="1"/>
    <col min="13065" max="13303" width="9.1796875" style="82"/>
    <col min="13304" max="13304" width="2.54296875" style="82" customWidth="1"/>
    <col min="13305" max="13305" width="48.453125" style="82" customWidth="1"/>
    <col min="13306" max="13306" width="1.54296875" style="82" customWidth="1"/>
    <col min="13307" max="13307" width="13.7265625" style="82" customWidth="1"/>
    <col min="13308" max="13308" width="1.453125" style="82" customWidth="1"/>
    <col min="13309" max="13309" width="13.7265625" style="82" customWidth="1"/>
    <col min="13310" max="13310" width="1.453125" style="82" customWidth="1"/>
    <col min="13311" max="13311" width="13.7265625" style="82" customWidth="1"/>
    <col min="13312" max="13312" width="1.453125" style="82" customWidth="1"/>
    <col min="13313" max="13313" width="13.7265625" style="82" customWidth="1"/>
    <col min="13314" max="13316" width="9.1796875" style="82"/>
    <col min="13317" max="13317" width="10.26953125" style="82" bestFit="1" customWidth="1"/>
    <col min="13318" max="13319" width="9.1796875" style="82"/>
    <col min="13320" max="13320" width="11.26953125" style="82" bestFit="1" customWidth="1"/>
    <col min="13321" max="13559" width="9.1796875" style="82"/>
    <col min="13560" max="13560" width="2.54296875" style="82" customWidth="1"/>
    <col min="13561" max="13561" width="48.453125" style="82" customWidth="1"/>
    <col min="13562" max="13562" width="1.54296875" style="82" customWidth="1"/>
    <col min="13563" max="13563" width="13.7265625" style="82" customWidth="1"/>
    <col min="13564" max="13564" width="1.453125" style="82" customWidth="1"/>
    <col min="13565" max="13565" width="13.7265625" style="82" customWidth="1"/>
    <col min="13566" max="13566" width="1.453125" style="82" customWidth="1"/>
    <col min="13567" max="13567" width="13.7265625" style="82" customWidth="1"/>
    <col min="13568" max="13568" width="1.453125" style="82" customWidth="1"/>
    <col min="13569" max="13569" width="13.7265625" style="82" customWidth="1"/>
    <col min="13570" max="13572" width="9.1796875" style="82"/>
    <col min="13573" max="13573" width="10.26953125" style="82" bestFit="1" customWidth="1"/>
    <col min="13574" max="13575" width="9.1796875" style="82"/>
    <col min="13576" max="13576" width="11.26953125" style="82" bestFit="1" customWidth="1"/>
    <col min="13577" max="13815" width="9.1796875" style="82"/>
    <col min="13816" max="13816" width="2.54296875" style="82" customWidth="1"/>
    <col min="13817" max="13817" width="48.453125" style="82" customWidth="1"/>
    <col min="13818" max="13818" width="1.54296875" style="82" customWidth="1"/>
    <col min="13819" max="13819" width="13.7265625" style="82" customWidth="1"/>
    <col min="13820" max="13820" width="1.453125" style="82" customWidth="1"/>
    <col min="13821" max="13821" width="13.7265625" style="82" customWidth="1"/>
    <col min="13822" max="13822" width="1.453125" style="82" customWidth="1"/>
    <col min="13823" max="13823" width="13.7265625" style="82" customWidth="1"/>
    <col min="13824" max="13824" width="1.453125" style="82" customWidth="1"/>
    <col min="13825" max="13825" width="13.7265625" style="82" customWidth="1"/>
    <col min="13826" max="13828" width="9.1796875" style="82"/>
    <col min="13829" max="13829" width="10.26953125" style="82" bestFit="1" customWidth="1"/>
    <col min="13830" max="13831" width="9.1796875" style="82"/>
    <col min="13832" max="13832" width="11.26953125" style="82" bestFit="1" customWidth="1"/>
    <col min="13833" max="14071" width="9.1796875" style="82"/>
    <col min="14072" max="14072" width="2.54296875" style="82" customWidth="1"/>
    <col min="14073" max="14073" width="48.453125" style="82" customWidth="1"/>
    <col min="14074" max="14074" width="1.54296875" style="82" customWidth="1"/>
    <col min="14075" max="14075" width="13.7265625" style="82" customWidth="1"/>
    <col min="14076" max="14076" width="1.453125" style="82" customWidth="1"/>
    <col min="14077" max="14077" width="13.7265625" style="82" customWidth="1"/>
    <col min="14078" max="14078" width="1.453125" style="82" customWidth="1"/>
    <col min="14079" max="14079" width="13.7265625" style="82" customWidth="1"/>
    <col min="14080" max="14080" width="1.453125" style="82" customWidth="1"/>
    <col min="14081" max="14081" width="13.7265625" style="82" customWidth="1"/>
    <col min="14082" max="14084" width="9.1796875" style="82"/>
    <col min="14085" max="14085" width="10.26953125" style="82" bestFit="1" customWidth="1"/>
    <col min="14086" max="14087" width="9.1796875" style="82"/>
    <col min="14088" max="14088" width="11.26953125" style="82" bestFit="1" customWidth="1"/>
    <col min="14089" max="14327" width="9.1796875" style="82"/>
    <col min="14328" max="14328" width="2.54296875" style="82" customWidth="1"/>
    <col min="14329" max="14329" width="48.453125" style="82" customWidth="1"/>
    <col min="14330" max="14330" width="1.54296875" style="82" customWidth="1"/>
    <col min="14331" max="14331" width="13.7265625" style="82" customWidth="1"/>
    <col min="14332" max="14332" width="1.453125" style="82" customWidth="1"/>
    <col min="14333" max="14333" width="13.7265625" style="82" customWidth="1"/>
    <col min="14334" max="14334" width="1.453125" style="82" customWidth="1"/>
    <col min="14335" max="14335" width="13.7265625" style="82" customWidth="1"/>
    <col min="14336" max="14336" width="1.453125" style="82" customWidth="1"/>
    <col min="14337" max="14337" width="13.7265625" style="82" customWidth="1"/>
    <col min="14338" max="14340" width="9.1796875" style="82"/>
    <col min="14341" max="14341" width="10.26953125" style="82" bestFit="1" customWidth="1"/>
    <col min="14342" max="14343" width="9.1796875" style="82"/>
    <col min="14344" max="14344" width="11.26953125" style="82" bestFit="1" customWidth="1"/>
    <col min="14345" max="14583" width="9.1796875" style="82"/>
    <col min="14584" max="14584" width="2.54296875" style="82" customWidth="1"/>
    <col min="14585" max="14585" width="48.453125" style="82" customWidth="1"/>
    <col min="14586" max="14586" width="1.54296875" style="82" customWidth="1"/>
    <col min="14587" max="14587" width="13.7265625" style="82" customWidth="1"/>
    <col min="14588" max="14588" width="1.453125" style="82" customWidth="1"/>
    <col min="14589" max="14589" width="13.7265625" style="82" customWidth="1"/>
    <col min="14590" max="14590" width="1.453125" style="82" customWidth="1"/>
    <col min="14591" max="14591" width="13.7265625" style="82" customWidth="1"/>
    <col min="14592" max="14592" width="1.453125" style="82" customWidth="1"/>
    <col min="14593" max="14593" width="13.7265625" style="82" customWidth="1"/>
    <col min="14594" max="14596" width="9.1796875" style="82"/>
    <col min="14597" max="14597" width="10.26953125" style="82" bestFit="1" customWidth="1"/>
    <col min="14598" max="14599" width="9.1796875" style="82"/>
    <col min="14600" max="14600" width="11.26953125" style="82" bestFit="1" customWidth="1"/>
    <col min="14601" max="14839" width="9.1796875" style="82"/>
    <col min="14840" max="14840" width="2.54296875" style="82" customWidth="1"/>
    <col min="14841" max="14841" width="48.453125" style="82" customWidth="1"/>
    <col min="14842" max="14842" width="1.54296875" style="82" customWidth="1"/>
    <col min="14843" max="14843" width="13.7265625" style="82" customWidth="1"/>
    <col min="14844" max="14844" width="1.453125" style="82" customWidth="1"/>
    <col min="14845" max="14845" width="13.7265625" style="82" customWidth="1"/>
    <col min="14846" max="14846" width="1.453125" style="82" customWidth="1"/>
    <col min="14847" max="14847" width="13.7265625" style="82" customWidth="1"/>
    <col min="14848" max="14848" width="1.453125" style="82" customWidth="1"/>
    <col min="14849" max="14849" width="13.7265625" style="82" customWidth="1"/>
    <col min="14850" max="14852" width="9.1796875" style="82"/>
    <col min="14853" max="14853" width="10.26953125" style="82" bestFit="1" customWidth="1"/>
    <col min="14854" max="14855" width="9.1796875" style="82"/>
    <col min="14856" max="14856" width="11.26953125" style="82" bestFit="1" customWidth="1"/>
    <col min="14857" max="15095" width="9.1796875" style="82"/>
    <col min="15096" max="15096" width="2.54296875" style="82" customWidth="1"/>
    <col min="15097" max="15097" width="48.453125" style="82" customWidth="1"/>
    <col min="15098" max="15098" width="1.54296875" style="82" customWidth="1"/>
    <col min="15099" max="15099" width="13.7265625" style="82" customWidth="1"/>
    <col min="15100" max="15100" width="1.453125" style="82" customWidth="1"/>
    <col min="15101" max="15101" width="13.7265625" style="82" customWidth="1"/>
    <col min="15102" max="15102" width="1.453125" style="82" customWidth="1"/>
    <col min="15103" max="15103" width="13.7265625" style="82" customWidth="1"/>
    <col min="15104" max="15104" width="1.453125" style="82" customWidth="1"/>
    <col min="15105" max="15105" width="13.7265625" style="82" customWidth="1"/>
    <col min="15106" max="15108" width="9.1796875" style="82"/>
    <col min="15109" max="15109" width="10.26953125" style="82" bestFit="1" customWidth="1"/>
    <col min="15110" max="15111" width="9.1796875" style="82"/>
    <col min="15112" max="15112" width="11.26953125" style="82" bestFit="1" customWidth="1"/>
    <col min="15113" max="15351" width="9.1796875" style="82"/>
    <col min="15352" max="15352" width="2.54296875" style="82" customWidth="1"/>
    <col min="15353" max="15353" width="48.453125" style="82" customWidth="1"/>
    <col min="15354" max="15354" width="1.54296875" style="82" customWidth="1"/>
    <col min="15355" max="15355" width="13.7265625" style="82" customWidth="1"/>
    <col min="15356" max="15356" width="1.453125" style="82" customWidth="1"/>
    <col min="15357" max="15357" width="13.7265625" style="82" customWidth="1"/>
    <col min="15358" max="15358" width="1.453125" style="82" customWidth="1"/>
    <col min="15359" max="15359" width="13.7265625" style="82" customWidth="1"/>
    <col min="15360" max="15360" width="1.453125" style="82" customWidth="1"/>
    <col min="15361" max="15361" width="13.7265625" style="82" customWidth="1"/>
    <col min="15362" max="15364" width="9.1796875" style="82"/>
    <col min="15365" max="15365" width="10.26953125" style="82" bestFit="1" customWidth="1"/>
    <col min="15366" max="15367" width="9.1796875" style="82"/>
    <col min="15368" max="15368" width="11.26953125" style="82" bestFit="1" customWidth="1"/>
    <col min="15369" max="15607" width="9.1796875" style="82"/>
    <col min="15608" max="15608" width="2.54296875" style="82" customWidth="1"/>
    <col min="15609" max="15609" width="48.453125" style="82" customWidth="1"/>
    <col min="15610" max="15610" width="1.54296875" style="82" customWidth="1"/>
    <col min="15611" max="15611" width="13.7265625" style="82" customWidth="1"/>
    <col min="15612" max="15612" width="1.453125" style="82" customWidth="1"/>
    <col min="15613" max="15613" width="13.7265625" style="82" customWidth="1"/>
    <col min="15614" max="15614" width="1.453125" style="82" customWidth="1"/>
    <col min="15615" max="15615" width="13.7265625" style="82" customWidth="1"/>
    <col min="15616" max="15616" width="1.453125" style="82" customWidth="1"/>
    <col min="15617" max="15617" width="13.7265625" style="82" customWidth="1"/>
    <col min="15618" max="15620" width="9.1796875" style="82"/>
    <col min="15621" max="15621" width="10.26953125" style="82" bestFit="1" customWidth="1"/>
    <col min="15622" max="15623" width="9.1796875" style="82"/>
    <col min="15624" max="15624" width="11.26953125" style="82" bestFit="1" customWidth="1"/>
    <col min="15625" max="15863" width="9.1796875" style="82"/>
    <col min="15864" max="15864" width="2.54296875" style="82" customWidth="1"/>
    <col min="15865" max="15865" width="48.453125" style="82" customWidth="1"/>
    <col min="15866" max="15866" width="1.54296875" style="82" customWidth="1"/>
    <col min="15867" max="15867" width="13.7265625" style="82" customWidth="1"/>
    <col min="15868" max="15868" width="1.453125" style="82" customWidth="1"/>
    <col min="15869" max="15869" width="13.7265625" style="82" customWidth="1"/>
    <col min="15870" max="15870" width="1.453125" style="82" customWidth="1"/>
    <col min="15871" max="15871" width="13.7265625" style="82" customWidth="1"/>
    <col min="15872" max="15872" width="1.453125" style="82" customWidth="1"/>
    <col min="15873" max="15873" width="13.7265625" style="82" customWidth="1"/>
    <col min="15874" max="15876" width="9.1796875" style="82"/>
    <col min="15877" max="15877" width="10.26953125" style="82" bestFit="1" customWidth="1"/>
    <col min="15878" max="15879" width="9.1796875" style="82"/>
    <col min="15880" max="15880" width="11.26953125" style="82" bestFit="1" customWidth="1"/>
    <col min="15881" max="16119" width="9.1796875" style="82"/>
    <col min="16120" max="16120" width="2.54296875" style="82" customWidth="1"/>
    <col min="16121" max="16121" width="48.453125" style="82" customWidth="1"/>
    <col min="16122" max="16122" width="1.54296875" style="82" customWidth="1"/>
    <col min="16123" max="16123" width="13.7265625" style="82" customWidth="1"/>
    <col min="16124" max="16124" width="1.453125" style="82" customWidth="1"/>
    <col min="16125" max="16125" width="13.7265625" style="82" customWidth="1"/>
    <col min="16126" max="16126" width="1.453125" style="82" customWidth="1"/>
    <col min="16127" max="16127" width="13.7265625" style="82" customWidth="1"/>
    <col min="16128" max="16128" width="1.453125" style="82" customWidth="1"/>
    <col min="16129" max="16129" width="13.7265625" style="82" customWidth="1"/>
    <col min="16130" max="16132" width="9.1796875" style="82"/>
    <col min="16133" max="16133" width="10.26953125" style="82" bestFit="1" customWidth="1"/>
    <col min="16134" max="16135" width="9.1796875" style="82"/>
    <col min="16136" max="16136" width="11.26953125" style="82" bestFit="1" customWidth="1"/>
    <col min="16137" max="16384" width="9.1796875" style="82"/>
  </cols>
  <sheetData>
    <row r="1" spans="1:6" s="55" customFormat="1" ht="15.75" customHeight="1" x14ac:dyDescent="0.3">
      <c r="A1" s="105" t="s">
        <v>96</v>
      </c>
      <c r="B1" s="108"/>
      <c r="C1" s="108"/>
      <c r="D1" s="108"/>
      <c r="E1" s="108"/>
      <c r="F1" s="177" t="s">
        <v>35</v>
      </c>
    </row>
    <row r="2" spans="1:6" s="55" customFormat="1" ht="15" customHeight="1" x14ac:dyDescent="0.3">
      <c r="A2" s="106" t="s">
        <v>95</v>
      </c>
      <c r="B2" s="61"/>
      <c r="C2" s="61"/>
      <c r="D2" s="61"/>
      <c r="E2" s="61"/>
      <c r="F2" s="178"/>
    </row>
    <row r="3" spans="1:6" s="55" customFormat="1" ht="15" customHeight="1" thickBot="1" x14ac:dyDescent="0.35">
      <c r="A3" s="107" t="s">
        <v>46</v>
      </c>
      <c r="B3" s="63"/>
      <c r="C3" s="63"/>
      <c r="D3" s="63"/>
      <c r="E3" s="63"/>
      <c r="F3" s="179"/>
    </row>
    <row r="4" spans="1:6" s="73" customFormat="1" ht="15" customHeight="1" x14ac:dyDescent="0.35">
      <c r="A4" s="71"/>
      <c r="B4" s="71"/>
      <c r="C4" s="71"/>
      <c r="D4" s="71"/>
    </row>
    <row r="5" spans="1:6" s="77" customFormat="1" ht="29.25" customHeight="1" x14ac:dyDescent="0.35">
      <c r="A5" s="74"/>
      <c r="B5" s="76" t="s">
        <v>90</v>
      </c>
      <c r="C5" s="74"/>
      <c r="D5" s="76" t="s">
        <v>93</v>
      </c>
      <c r="F5" s="75" t="s">
        <v>39</v>
      </c>
    </row>
    <row r="6" spans="1:6" s="73" customFormat="1" ht="15" customHeight="1" x14ac:dyDescent="0.35">
      <c r="A6" s="78" t="s">
        <v>40</v>
      </c>
      <c r="B6" s="78"/>
      <c r="C6" s="78"/>
      <c r="D6" s="79"/>
    </row>
    <row r="7" spans="1:6" ht="15" customHeight="1" x14ac:dyDescent="0.3">
      <c r="A7" s="81" t="s">
        <v>24</v>
      </c>
      <c r="B7" s="80"/>
      <c r="C7" s="80"/>
      <c r="D7" s="80"/>
    </row>
    <row r="8" spans="1:6" s="70" customFormat="1" ht="15" customHeight="1" x14ac:dyDescent="0.35">
      <c r="A8" s="72" t="s">
        <v>79</v>
      </c>
      <c r="B8" s="83">
        <v>0</v>
      </c>
      <c r="C8" s="83"/>
      <c r="D8" s="83">
        <v>0</v>
      </c>
      <c r="F8" s="83">
        <f>SUM(B8:D8)</f>
        <v>0</v>
      </c>
    </row>
    <row r="9" spans="1:6" s="70" customFormat="1" ht="15" customHeight="1" x14ac:dyDescent="0.3">
      <c r="A9" s="88" t="s">
        <v>25</v>
      </c>
      <c r="B9" s="83">
        <v>0</v>
      </c>
      <c r="C9" s="83"/>
      <c r="D9" s="83">
        <v>0</v>
      </c>
      <c r="F9" s="83">
        <v>0</v>
      </c>
    </row>
    <row r="10" spans="1:6" s="70" customFormat="1" ht="15" customHeight="1" x14ac:dyDescent="0.3">
      <c r="A10" s="88" t="s">
        <v>56</v>
      </c>
      <c r="B10" s="83">
        <v>0</v>
      </c>
      <c r="C10" s="83"/>
      <c r="D10" s="83">
        <v>0</v>
      </c>
      <c r="F10" s="83">
        <f>SUM(B10:D10)</f>
        <v>0</v>
      </c>
    </row>
    <row r="11" spans="1:6" s="70" customFormat="1" ht="15" customHeight="1" x14ac:dyDescent="0.35">
      <c r="A11" s="70" t="s">
        <v>78</v>
      </c>
      <c r="B11" s="85">
        <f>SUM(B8:B10)</f>
        <v>0</v>
      </c>
      <c r="C11" s="86"/>
      <c r="D11" s="85">
        <f>SUM(D8:D10)</f>
        <v>0</v>
      </c>
      <c r="F11" s="85">
        <f>SUM(F8:F10)</f>
        <v>0</v>
      </c>
    </row>
    <row r="12" spans="1:6" s="70" customFormat="1" ht="15" customHeight="1" x14ac:dyDescent="0.35">
      <c r="B12" s="84"/>
      <c r="C12" s="86"/>
      <c r="D12" s="87"/>
    </row>
    <row r="13" spans="1:6" s="70" customFormat="1" ht="15" customHeight="1" x14ac:dyDescent="0.35">
      <c r="A13" s="72" t="s">
        <v>97</v>
      </c>
      <c r="B13" s="83">
        <f>B11</f>
        <v>0</v>
      </c>
      <c r="C13" s="83"/>
      <c r="D13" s="83">
        <f>D11</f>
        <v>0</v>
      </c>
      <c r="F13" s="83">
        <f>SUM(B13:D13)</f>
        <v>0</v>
      </c>
    </row>
    <row r="14" spans="1:6" s="70" customFormat="1" ht="15" customHeight="1" x14ac:dyDescent="0.3">
      <c r="A14" s="88" t="s">
        <v>25</v>
      </c>
      <c r="B14" s="83">
        <v>0</v>
      </c>
      <c r="C14" s="83"/>
      <c r="D14" s="83">
        <v>0</v>
      </c>
      <c r="F14" s="83">
        <v>0</v>
      </c>
    </row>
    <row r="15" spans="1:6" s="70" customFormat="1" ht="15" customHeight="1" x14ac:dyDescent="0.3">
      <c r="A15" s="88" t="s">
        <v>56</v>
      </c>
      <c r="B15" s="83">
        <v>0</v>
      </c>
      <c r="C15" s="83"/>
      <c r="D15" s="83">
        <v>0</v>
      </c>
      <c r="F15" s="83">
        <f>SUM(B15:D15)</f>
        <v>0</v>
      </c>
    </row>
    <row r="16" spans="1:6" s="70" customFormat="1" ht="15" customHeight="1" thickBot="1" x14ac:dyDescent="0.4">
      <c r="A16" s="70" t="s">
        <v>98</v>
      </c>
      <c r="B16" s="89">
        <f>SUM(B13:B15)</f>
        <v>0</v>
      </c>
      <c r="C16" s="86"/>
      <c r="D16" s="89">
        <f>SUM(D13:D15)</f>
        <v>0</v>
      </c>
      <c r="F16" s="89">
        <f>SUM(F13:F15)</f>
        <v>0</v>
      </c>
    </row>
    <row r="17" spans="1:14" s="70" customFormat="1" ht="15" customHeight="1" thickTop="1" x14ac:dyDescent="0.35">
      <c r="B17" s="84"/>
      <c r="C17" s="86"/>
      <c r="D17" s="87"/>
    </row>
    <row r="18" spans="1:14" s="70" customFormat="1" ht="15" customHeight="1" x14ac:dyDescent="0.35">
      <c r="A18" s="70" t="s">
        <v>41</v>
      </c>
      <c r="D18" s="87"/>
    </row>
    <row r="19" spans="1:14" s="70" customFormat="1" ht="15" customHeight="1" x14ac:dyDescent="0.35">
      <c r="A19" s="72" t="s">
        <v>79</v>
      </c>
      <c r="B19" s="83">
        <v>0</v>
      </c>
      <c r="C19" s="90"/>
      <c r="D19" s="83">
        <v>0</v>
      </c>
      <c r="F19" s="83">
        <f>SUM(B19:D19)</f>
        <v>0</v>
      </c>
    </row>
    <row r="20" spans="1:14" s="70" customFormat="1" ht="15" customHeight="1" x14ac:dyDescent="0.3">
      <c r="A20" s="88" t="s">
        <v>42</v>
      </c>
      <c r="B20" s="91">
        <v>0</v>
      </c>
      <c r="C20" s="92"/>
      <c r="D20" s="83">
        <v>0</v>
      </c>
      <c r="F20" s="83">
        <f>SUM(B20:D20)</f>
        <v>0</v>
      </c>
    </row>
    <row r="21" spans="1:14" s="70" customFormat="1" ht="15" customHeight="1" x14ac:dyDescent="0.3">
      <c r="A21" s="88" t="s">
        <v>43</v>
      </c>
      <c r="B21" s="91">
        <v>0</v>
      </c>
      <c r="C21" s="92"/>
      <c r="D21" s="83">
        <v>0</v>
      </c>
      <c r="F21" s="83">
        <v>0</v>
      </c>
    </row>
    <row r="22" spans="1:14" s="70" customFormat="1" ht="15" customHeight="1" x14ac:dyDescent="0.35">
      <c r="A22" s="70" t="str">
        <f>A11</f>
        <v>Balance as at 31 December 2023</v>
      </c>
      <c r="B22" s="93">
        <f>SUM(B19:B21)</f>
        <v>0</v>
      </c>
      <c r="C22" s="86"/>
      <c r="D22" s="93">
        <f>SUM(D19:D21)</f>
        <v>0</v>
      </c>
      <c r="F22" s="85">
        <f>SUM(F19:F21)</f>
        <v>0</v>
      </c>
    </row>
    <row r="23" spans="1:14" s="70" customFormat="1" ht="15" customHeight="1" x14ac:dyDescent="0.35">
      <c r="D23" s="87"/>
    </row>
    <row r="24" spans="1:14" s="70" customFormat="1" ht="15" customHeight="1" x14ac:dyDescent="0.35">
      <c r="A24" s="72" t="s">
        <v>97</v>
      </c>
      <c r="B24" s="83">
        <f>B22</f>
        <v>0</v>
      </c>
      <c r="C24" s="84"/>
      <c r="D24" s="83">
        <f>D22</f>
        <v>0</v>
      </c>
      <c r="F24" s="83">
        <f>SUM(B24:D24)</f>
        <v>0</v>
      </c>
    </row>
    <row r="25" spans="1:14" s="70" customFormat="1" ht="15" customHeight="1" x14ac:dyDescent="0.3">
      <c r="A25" s="88" t="s">
        <v>42</v>
      </c>
      <c r="B25" s="91">
        <v>0</v>
      </c>
      <c r="C25" s="92"/>
      <c r="D25" s="83">
        <v>0</v>
      </c>
      <c r="F25" s="83">
        <f>SUM(B25:D25)</f>
        <v>0</v>
      </c>
    </row>
    <row r="26" spans="1:14" s="70" customFormat="1" ht="15" customHeight="1" x14ac:dyDescent="0.3">
      <c r="A26" s="88" t="s">
        <v>43</v>
      </c>
      <c r="B26" s="83">
        <v>0</v>
      </c>
      <c r="C26" s="83"/>
      <c r="D26" s="83">
        <v>0</v>
      </c>
      <c r="F26" s="83">
        <f>SUM(B26:D26)</f>
        <v>0</v>
      </c>
    </row>
    <row r="27" spans="1:14" s="70" customFormat="1" ht="15" customHeight="1" thickBot="1" x14ac:dyDescent="0.4">
      <c r="A27" s="70" t="s">
        <v>98</v>
      </c>
      <c r="B27" s="94">
        <f>SUM(B24:B26)</f>
        <v>0</v>
      </c>
      <c r="C27" s="86"/>
      <c r="D27" s="89">
        <f>SUM(D24:D26)</f>
        <v>0</v>
      </c>
      <c r="F27" s="85">
        <f>SUM(F24:F26)</f>
        <v>0</v>
      </c>
    </row>
    <row r="28" spans="1:14" ht="15" customHeight="1" thickTop="1" x14ac:dyDescent="0.3">
      <c r="A28" s="95"/>
    </row>
    <row r="29" spans="1:14" ht="15" customHeight="1" x14ac:dyDescent="0.3">
      <c r="A29" s="70" t="s">
        <v>44</v>
      </c>
    </row>
    <row r="30" spans="1:14" s="78" customFormat="1" ht="15" customHeight="1" thickBot="1" x14ac:dyDescent="0.4">
      <c r="A30" s="97" t="s">
        <v>98</v>
      </c>
      <c r="B30" s="98">
        <f>B16-B27</f>
        <v>0</v>
      </c>
      <c r="C30" s="87"/>
      <c r="D30" s="98">
        <f>D16-D27</f>
        <v>0</v>
      </c>
      <c r="F30" s="98">
        <f>F16-F27</f>
        <v>0</v>
      </c>
      <c r="H30" s="99"/>
      <c r="I30" s="99"/>
      <c r="J30" s="99"/>
      <c r="K30" s="99"/>
      <c r="L30" s="99"/>
      <c r="M30" s="100"/>
      <c r="N30" s="99"/>
    </row>
    <row r="31" spans="1:14" s="73" customFormat="1" ht="15" customHeight="1" thickTop="1" x14ac:dyDescent="0.35">
      <c r="A31" s="101" t="s">
        <v>78</v>
      </c>
      <c r="B31" s="102">
        <f>B11-B22</f>
        <v>0</v>
      </c>
      <c r="C31" s="99"/>
      <c r="D31" s="102">
        <f>D11-D22</f>
        <v>0</v>
      </c>
      <c r="F31" s="102">
        <f>F11-F22</f>
        <v>0</v>
      </c>
      <c r="H31" s="103"/>
      <c r="I31" s="99"/>
      <c r="J31" s="103"/>
      <c r="K31" s="103"/>
      <c r="L31" s="103"/>
      <c r="M31" s="104"/>
      <c r="N31" s="103"/>
    </row>
    <row r="32" spans="1:14" s="73" customFormat="1" ht="15" customHeight="1" x14ac:dyDescent="0.35">
      <c r="A32" s="101"/>
      <c r="B32" s="99"/>
      <c r="C32" s="99"/>
      <c r="D32" s="99"/>
      <c r="F32" s="99"/>
      <c r="H32" s="99"/>
      <c r="I32" s="99"/>
      <c r="J32" s="99"/>
      <c r="K32" s="99"/>
      <c r="L32" s="99"/>
      <c r="M32" s="100"/>
      <c r="N32" s="99"/>
    </row>
    <row r="33" spans="1:8" s="73" customFormat="1" ht="15" customHeight="1" x14ac:dyDescent="0.35">
      <c r="A33" s="101"/>
      <c r="B33" s="155"/>
      <c r="F33" s="99"/>
    </row>
    <row r="34" spans="1:8" s="73" customFormat="1" ht="15" customHeight="1" x14ac:dyDescent="0.35">
      <c r="A34" s="101"/>
      <c r="B34" s="155"/>
      <c r="F34" s="99"/>
    </row>
    <row r="35" spans="1:8" s="73" customFormat="1" ht="15" customHeight="1" x14ac:dyDescent="0.35">
      <c r="A35" s="101"/>
      <c r="F35" s="99"/>
    </row>
    <row r="36" spans="1:8" s="73" customFormat="1" ht="15" customHeight="1" x14ac:dyDescent="0.35">
      <c r="A36" s="101"/>
      <c r="F36" s="99"/>
      <c r="H36" s="100"/>
    </row>
  </sheetData>
  <mergeCells count="1">
    <mergeCell ref="F1:F3"/>
  </mergeCells>
  <pageMargins left="0.6692913385826772" right="0.51181102362204722" top="0.51181102362204722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view="pageBreakPreview" topLeftCell="A7" zoomScaleNormal="100" zoomScaleSheetLayoutView="100" workbookViewId="0">
      <selection activeCell="A15" sqref="A15"/>
    </sheetView>
  </sheetViews>
  <sheetFormatPr defaultColWidth="9.1796875" defaultRowHeight="14" x14ac:dyDescent="0.3"/>
  <cols>
    <col min="1" max="1" width="34.453125" style="1" customWidth="1"/>
    <col min="2" max="2" width="12.453125" style="1" customWidth="1"/>
    <col min="3" max="3" width="10.54296875" style="1" bestFit="1" customWidth="1"/>
    <col min="4" max="4" width="13.26953125" style="1" customWidth="1"/>
    <col min="5" max="5" width="13.54296875" style="1" customWidth="1"/>
    <col min="6" max="16384" width="9.1796875" style="1"/>
  </cols>
  <sheetData>
    <row r="1" spans="1:5" ht="15" customHeight="1" x14ac:dyDescent="0.3">
      <c r="A1" s="120" t="s">
        <v>53</v>
      </c>
      <c r="B1" s="121"/>
      <c r="C1" s="121"/>
      <c r="D1" s="68"/>
      <c r="E1" s="180" t="s">
        <v>29</v>
      </c>
    </row>
    <row r="2" spans="1:5" x14ac:dyDescent="0.3">
      <c r="A2" s="106" t="s">
        <v>45</v>
      </c>
      <c r="B2" s="61"/>
      <c r="C2" s="61"/>
      <c r="D2" s="68"/>
      <c r="E2" s="181"/>
    </row>
    <row r="3" spans="1:5" ht="14.5" thickBot="1" x14ac:dyDescent="0.35">
      <c r="A3" s="107" t="s">
        <v>46</v>
      </c>
      <c r="B3" s="63"/>
      <c r="C3" s="63"/>
      <c r="D3" s="69"/>
      <c r="E3" s="182"/>
    </row>
    <row r="5" spans="1:5" x14ac:dyDescent="0.3">
      <c r="A5" s="60" t="s">
        <v>28</v>
      </c>
    </row>
    <row r="7" spans="1:5" ht="42" x14ac:dyDescent="0.3">
      <c r="B7" s="67" t="s">
        <v>38</v>
      </c>
      <c r="C7" s="67" t="s">
        <v>37</v>
      </c>
      <c r="D7" s="67" t="s">
        <v>39</v>
      </c>
    </row>
    <row r="8" spans="1:5" x14ac:dyDescent="0.3">
      <c r="B8" s="110"/>
      <c r="C8" s="110"/>
      <c r="D8" s="110"/>
    </row>
    <row r="9" spans="1:5" x14ac:dyDescent="0.3">
      <c r="A9" s="65" t="s">
        <v>48</v>
      </c>
      <c r="B9" s="109">
        <v>13133</v>
      </c>
      <c r="C9" s="109">
        <v>57139</v>
      </c>
      <c r="D9" s="111">
        <f>SUM(B9:C9)</f>
        <v>70272</v>
      </c>
    </row>
    <row r="10" spans="1:5" x14ac:dyDescent="0.3">
      <c r="A10" s="65" t="s">
        <v>49</v>
      </c>
      <c r="B10" s="112">
        <v>0.15</v>
      </c>
      <c r="C10" s="112">
        <v>0.2</v>
      </c>
      <c r="D10" s="64"/>
    </row>
    <row r="11" spans="1:5" x14ac:dyDescent="0.3">
      <c r="A11" s="66" t="s">
        <v>50</v>
      </c>
      <c r="B11" s="114">
        <f>B9*B10</f>
        <v>1969.9499999999998</v>
      </c>
      <c r="C11" s="114">
        <f>C9*C10</f>
        <v>11427.800000000001</v>
      </c>
      <c r="D11" s="115">
        <f>SUM(B11:C11)</f>
        <v>13397.75</v>
      </c>
    </row>
    <row r="12" spans="1:5" x14ac:dyDescent="0.3">
      <c r="A12" s="65"/>
      <c r="B12" s="109"/>
      <c r="C12" s="109"/>
      <c r="D12" s="111"/>
    </row>
    <row r="13" spans="1:5" x14ac:dyDescent="0.3">
      <c r="A13" s="66" t="s">
        <v>25</v>
      </c>
      <c r="B13" s="109"/>
      <c r="C13" s="109"/>
      <c r="D13" s="111"/>
    </row>
    <row r="14" spans="1:5" x14ac:dyDescent="0.3">
      <c r="A14" s="65" t="s">
        <v>54</v>
      </c>
      <c r="B14" s="109">
        <v>0</v>
      </c>
      <c r="C14" s="109">
        <v>152640</v>
      </c>
      <c r="D14" s="109">
        <v>0</v>
      </c>
    </row>
    <row r="15" spans="1:5" x14ac:dyDescent="0.3">
      <c r="A15" s="65" t="s">
        <v>54</v>
      </c>
      <c r="B15" s="109"/>
      <c r="C15" s="109">
        <v>20000</v>
      </c>
      <c r="D15" s="109"/>
    </row>
    <row r="16" spans="1:5" x14ac:dyDescent="0.3">
      <c r="A16" s="65" t="s">
        <v>54</v>
      </c>
      <c r="B16" s="109"/>
      <c r="C16" s="109">
        <v>97000</v>
      </c>
      <c r="D16" s="109"/>
    </row>
    <row r="17" spans="1:4" x14ac:dyDescent="0.3">
      <c r="A17" s="65" t="s">
        <v>54</v>
      </c>
      <c r="B17" s="109"/>
      <c r="C17" s="109">
        <v>5798</v>
      </c>
      <c r="D17" s="109"/>
    </row>
    <row r="18" spans="1:4" x14ac:dyDescent="0.3">
      <c r="A18" s="65"/>
      <c r="B18" s="109"/>
      <c r="C18" s="109"/>
      <c r="D18" s="109"/>
    </row>
    <row r="19" spans="1:4" x14ac:dyDescent="0.3">
      <c r="A19" s="65"/>
      <c r="B19" s="113">
        <v>0</v>
      </c>
      <c r="C19" s="112">
        <v>0.2</v>
      </c>
      <c r="D19" s="109">
        <v>0</v>
      </c>
    </row>
    <row r="20" spans="1:4" x14ac:dyDescent="0.3">
      <c r="A20" s="66" t="s">
        <v>51</v>
      </c>
      <c r="B20" s="114">
        <f>B14*B19</f>
        <v>0</v>
      </c>
      <c r="C20" s="114">
        <f>(C14*C19*11/12)+(C15*C19*9/12)+(C16*C19*1/12)</f>
        <v>32600.666666666668</v>
      </c>
      <c r="D20" s="115"/>
    </row>
    <row r="21" spans="1:4" x14ac:dyDescent="0.3">
      <c r="A21" s="66" t="s">
        <v>52</v>
      </c>
      <c r="B21" s="114">
        <f>B11+B20</f>
        <v>1969.9499999999998</v>
      </c>
      <c r="C21" s="114">
        <f>C11+C20</f>
        <v>44028.466666666667</v>
      </c>
      <c r="D21" s="114">
        <f>SUM(B21:C21)</f>
        <v>45998.416666666664</v>
      </c>
    </row>
  </sheetData>
  <mergeCells count="1">
    <mergeCell ref="E1:E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M12"/>
  <sheetViews>
    <sheetView view="pageBreakPreview" zoomScaleNormal="100" zoomScaleSheetLayoutView="100" workbookViewId="0">
      <selection activeCell="B4" sqref="B4:I4"/>
    </sheetView>
  </sheetViews>
  <sheetFormatPr defaultColWidth="8.81640625" defaultRowHeight="14" x14ac:dyDescent="0.3"/>
  <cols>
    <col min="1" max="1" width="32" style="122" bestFit="1" customWidth="1"/>
    <col min="2" max="3" width="9.54296875" style="122" bestFit="1" customWidth="1"/>
    <col min="4" max="4" width="14.7265625" style="122" bestFit="1" customWidth="1"/>
    <col min="5" max="5" width="9.54296875" style="122" bestFit="1" customWidth="1"/>
    <col min="6" max="7" width="9.1796875" style="122" bestFit="1" customWidth="1"/>
    <col min="8" max="8" width="9.54296875" style="122" bestFit="1" customWidth="1"/>
    <col min="9" max="9" width="10.1796875" style="122" bestFit="1" customWidth="1"/>
    <col min="10" max="10" width="8.81640625" style="122" bestFit="1" customWidth="1"/>
    <col min="11" max="16384" width="8.81640625" style="122"/>
  </cols>
  <sheetData>
    <row r="1" spans="1:13" x14ac:dyDescent="0.3">
      <c r="A1" s="122" t="s">
        <v>57</v>
      </c>
    </row>
    <row r="2" spans="1:13" x14ac:dyDescent="0.3">
      <c r="D2" s="122">
        <v>218834</v>
      </c>
    </row>
    <row r="3" spans="1:13" x14ac:dyDescent="0.3">
      <c r="A3" s="122" t="s">
        <v>58</v>
      </c>
    </row>
    <row r="4" spans="1:13" ht="28" x14ac:dyDescent="0.3">
      <c r="A4" s="122" t="s">
        <v>59</v>
      </c>
      <c r="B4" s="123" t="s">
        <v>60</v>
      </c>
      <c r="C4" s="123" t="s">
        <v>61</v>
      </c>
      <c r="D4" s="123" t="s">
        <v>62</v>
      </c>
      <c r="E4" s="123" t="s">
        <v>63</v>
      </c>
      <c r="F4" s="123" t="s">
        <v>64</v>
      </c>
      <c r="G4" s="123" t="s">
        <v>65</v>
      </c>
      <c r="H4" s="123" t="s">
        <v>66</v>
      </c>
      <c r="I4" s="123" t="s">
        <v>67</v>
      </c>
      <c r="J4" s="123"/>
      <c r="K4" s="123"/>
      <c r="L4" s="123"/>
      <c r="M4" s="123"/>
    </row>
    <row r="5" spans="1:13" x14ac:dyDescent="0.3">
      <c r="A5" s="122" t="s">
        <v>68</v>
      </c>
      <c r="B5" s="124">
        <v>42781</v>
      </c>
      <c r="C5" s="124">
        <v>42844</v>
      </c>
      <c r="D5" s="124">
        <v>42864</v>
      </c>
      <c r="E5" s="124">
        <v>43367</v>
      </c>
      <c r="F5" s="124">
        <v>43379</v>
      </c>
      <c r="G5" s="124">
        <v>44211</v>
      </c>
      <c r="H5" s="124">
        <v>44273</v>
      </c>
      <c r="I5" s="124">
        <v>44528</v>
      </c>
    </row>
    <row r="6" spans="1:13" x14ac:dyDescent="0.3">
      <c r="A6" s="122" t="s">
        <v>69</v>
      </c>
      <c r="B6" s="125">
        <v>22000</v>
      </c>
      <c r="C6" s="125">
        <v>29700</v>
      </c>
      <c r="D6" s="125">
        <f>27500+4700</f>
        <v>32200</v>
      </c>
      <c r="E6" s="125">
        <v>24000</v>
      </c>
      <c r="F6" s="125">
        <v>35000</v>
      </c>
      <c r="G6" s="125">
        <v>152740</v>
      </c>
      <c r="H6" s="125">
        <v>20500</v>
      </c>
      <c r="I6" s="125">
        <v>102798</v>
      </c>
      <c r="J6" s="125">
        <f>SUM(B6:I6)</f>
        <v>418938</v>
      </c>
    </row>
    <row r="7" spans="1:13" x14ac:dyDescent="0.3">
      <c r="C7" s="125"/>
      <c r="D7" s="125"/>
      <c r="E7" s="125"/>
      <c r="F7" s="125"/>
      <c r="G7" s="125"/>
      <c r="H7" s="125"/>
      <c r="I7" s="125"/>
      <c r="J7" s="125"/>
    </row>
    <row r="8" spans="1:13" x14ac:dyDescent="0.3">
      <c r="C8" s="125"/>
      <c r="D8" s="125"/>
      <c r="E8" s="125"/>
      <c r="F8" s="125"/>
      <c r="G8" s="125"/>
      <c r="H8" s="125"/>
      <c r="I8" s="125"/>
      <c r="J8" s="125"/>
    </row>
    <row r="9" spans="1:13" x14ac:dyDescent="0.3">
      <c r="A9" s="122" t="s">
        <v>70</v>
      </c>
      <c r="B9" s="122">
        <v>0</v>
      </c>
      <c r="C9" s="125">
        <v>17335</v>
      </c>
      <c r="D9" s="125">
        <v>18234</v>
      </c>
      <c r="E9" s="125">
        <v>11712</v>
      </c>
      <c r="F9" s="125">
        <v>17080</v>
      </c>
      <c r="G9" s="125">
        <v>27984</v>
      </c>
      <c r="H9" s="125">
        <v>3000</v>
      </c>
      <c r="I9" s="125">
        <v>1713</v>
      </c>
      <c r="J9" s="125">
        <f>SUM(B9:I9)</f>
        <v>97058</v>
      </c>
    </row>
    <row r="10" spans="1:13" x14ac:dyDescent="0.3">
      <c r="A10" s="122" t="s">
        <v>71</v>
      </c>
      <c r="B10" s="122">
        <v>0</v>
      </c>
      <c r="C10" s="125">
        <f>C6-C9</f>
        <v>12365</v>
      </c>
      <c r="D10" s="125">
        <f t="shared" ref="D10:I10" si="0">D6-D9</f>
        <v>13966</v>
      </c>
      <c r="E10" s="125">
        <f t="shared" si="0"/>
        <v>12288</v>
      </c>
      <c r="F10" s="125">
        <f t="shared" si="0"/>
        <v>17920</v>
      </c>
      <c r="G10" s="125">
        <f t="shared" si="0"/>
        <v>124756</v>
      </c>
      <c r="H10" s="125">
        <f t="shared" si="0"/>
        <v>17500</v>
      </c>
      <c r="I10" s="125">
        <f t="shared" si="0"/>
        <v>101085</v>
      </c>
      <c r="J10" s="125">
        <f>SUM(B10:I10)</f>
        <v>299880</v>
      </c>
    </row>
    <row r="11" spans="1:13" x14ac:dyDescent="0.3">
      <c r="A11" s="122" t="s">
        <v>72</v>
      </c>
      <c r="C11" s="125">
        <f>ROUND(C10*0.2,0)</f>
        <v>2473</v>
      </c>
      <c r="D11" s="125" t="s">
        <v>73</v>
      </c>
      <c r="E11" s="125">
        <f t="shared" ref="E11:I11" si="1">ROUND(E10*0.2,0)</f>
        <v>2458</v>
      </c>
      <c r="F11" s="125">
        <f t="shared" si="1"/>
        <v>3584</v>
      </c>
      <c r="G11" s="125">
        <f t="shared" si="1"/>
        <v>24951</v>
      </c>
      <c r="H11" s="125">
        <f t="shared" si="1"/>
        <v>3500</v>
      </c>
      <c r="I11" s="125">
        <f t="shared" si="1"/>
        <v>20217</v>
      </c>
      <c r="J11" s="125">
        <f>SUM(B11:I11)</f>
        <v>57183</v>
      </c>
    </row>
    <row r="12" spans="1:13" x14ac:dyDescent="0.3">
      <c r="A12" s="122" t="s">
        <v>74</v>
      </c>
      <c r="C12" s="126">
        <f>C10-C11</f>
        <v>9892</v>
      </c>
      <c r="D12" s="122">
        <v>0</v>
      </c>
      <c r="E12" s="126">
        <f t="shared" ref="E12:I12" si="2">E10-E11</f>
        <v>9830</v>
      </c>
      <c r="F12" s="126">
        <f t="shared" si="2"/>
        <v>14336</v>
      </c>
      <c r="G12" s="126">
        <f t="shared" si="2"/>
        <v>99805</v>
      </c>
      <c r="H12" s="126">
        <f t="shared" si="2"/>
        <v>14000</v>
      </c>
      <c r="I12" s="126">
        <f t="shared" si="2"/>
        <v>80868</v>
      </c>
      <c r="J12" s="125">
        <f>SUM(B12:I12)</f>
        <v>228731</v>
      </c>
    </row>
  </sheetData>
  <pageMargins left="0.7" right="0.7" top="0.75" bottom="0.75" header="0.3" footer="0.3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view="pageBreakPreview" zoomScaleNormal="100" zoomScaleSheetLayoutView="100" workbookViewId="0">
      <selection activeCell="B8" sqref="B8"/>
    </sheetView>
  </sheetViews>
  <sheetFormatPr defaultColWidth="9.1796875" defaultRowHeight="14" x14ac:dyDescent="0.3"/>
  <cols>
    <col min="1" max="1" width="17.81640625" style="1" customWidth="1"/>
    <col min="2" max="2" width="20.1796875" style="1" customWidth="1"/>
    <col min="3" max="3" width="13.81640625" style="1" bestFit="1" customWidth="1"/>
    <col min="4" max="4" width="13.1796875" style="1" bestFit="1" customWidth="1"/>
    <col min="5" max="5" width="11.81640625" style="1" customWidth="1"/>
    <col min="6" max="6" width="13.26953125" style="1" customWidth="1"/>
    <col min="7" max="16384" width="9.1796875" style="1"/>
  </cols>
  <sheetData>
    <row r="1" spans="1:6" ht="15" customHeight="1" x14ac:dyDescent="0.3">
      <c r="A1" s="151" t="str">
        <f>Lead!A1</f>
        <v xml:space="preserve">Client: </v>
      </c>
      <c r="B1" s="116"/>
      <c r="C1" s="116"/>
      <c r="D1" s="116"/>
      <c r="E1" s="117"/>
      <c r="F1" s="180" t="s">
        <v>30</v>
      </c>
    </row>
    <row r="2" spans="1:6" x14ac:dyDescent="0.3">
      <c r="A2" s="152" t="str">
        <f>Lead!A2</f>
        <v>Financial Year: As at 31/12/2024</v>
      </c>
      <c r="B2" s="61"/>
      <c r="C2" s="61"/>
      <c r="D2" s="135"/>
      <c r="E2" s="118"/>
      <c r="F2" s="181"/>
    </row>
    <row r="3" spans="1:6" ht="14.5" thickBot="1" x14ac:dyDescent="0.35">
      <c r="A3" s="153" t="str">
        <f>Lead!A3</f>
        <v>FSA: PPE</v>
      </c>
      <c r="B3" s="63"/>
      <c r="C3" s="63"/>
      <c r="D3" s="62"/>
      <c r="E3" s="119"/>
      <c r="F3" s="182"/>
    </row>
    <row r="5" spans="1:6" x14ac:dyDescent="0.3">
      <c r="A5" s="60" t="s">
        <v>26</v>
      </c>
    </row>
    <row r="7" spans="1:6" x14ac:dyDescent="0.3">
      <c r="A7" s="67" t="s">
        <v>27</v>
      </c>
      <c r="B7" s="67" t="s">
        <v>8</v>
      </c>
      <c r="C7" s="67" t="s">
        <v>34</v>
      </c>
      <c r="D7" s="67" t="s">
        <v>75</v>
      </c>
      <c r="E7" s="67" t="s">
        <v>47</v>
      </c>
      <c r="F7" s="67" t="s">
        <v>91</v>
      </c>
    </row>
    <row r="8" spans="1:6" x14ac:dyDescent="0.3">
      <c r="A8" s="130"/>
      <c r="B8" s="128"/>
      <c r="C8" s="129">
        <v>0</v>
      </c>
      <c r="D8" s="127" t="s">
        <v>88</v>
      </c>
      <c r="E8" s="156" t="s">
        <v>89</v>
      </c>
      <c r="F8" s="158"/>
    </row>
    <row r="9" spans="1:6" x14ac:dyDescent="0.3">
      <c r="A9" s="127"/>
      <c r="B9" s="128"/>
      <c r="C9" s="129"/>
      <c r="D9" s="127"/>
      <c r="E9" s="128"/>
    </row>
  </sheetData>
  <mergeCells count="1">
    <mergeCell ref="F1:F3"/>
  </mergeCells>
  <pageMargins left="0.6692913385826772" right="0.51181102362204722" top="0.51181102362204722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view="pageBreakPreview" zoomScaleNormal="100" zoomScaleSheetLayoutView="100" workbookViewId="0">
      <selection activeCell="A4" sqref="A4"/>
    </sheetView>
  </sheetViews>
  <sheetFormatPr defaultColWidth="9.1796875" defaultRowHeight="14" x14ac:dyDescent="0.3"/>
  <cols>
    <col min="1" max="1" width="23.453125" style="1" customWidth="1"/>
    <col min="2" max="9" width="12.7265625" style="1" customWidth="1"/>
    <col min="10" max="10" width="9.1796875" style="1"/>
    <col min="11" max="11" width="9.453125" style="1" bestFit="1" customWidth="1"/>
    <col min="12" max="16384" width="9.1796875" style="1"/>
  </cols>
  <sheetData>
    <row r="1" spans="1:13" x14ac:dyDescent="0.3">
      <c r="A1" s="151" t="str">
        <f>Lead!A1</f>
        <v xml:space="preserve">Client: </v>
      </c>
      <c r="B1" s="131"/>
      <c r="C1" s="132"/>
      <c r="D1" s="132"/>
      <c r="E1" s="132"/>
      <c r="F1" s="132"/>
      <c r="G1" s="132"/>
      <c r="H1" s="133"/>
      <c r="I1" s="180" t="s">
        <v>29</v>
      </c>
    </row>
    <row r="2" spans="1:13" x14ac:dyDescent="0.3">
      <c r="A2" s="152" t="str">
        <f>Lead!A2</f>
        <v>Financial Year: As at 31/12/2024</v>
      </c>
      <c r="B2" s="134"/>
      <c r="C2" s="61"/>
      <c r="D2" s="136"/>
      <c r="E2" s="136"/>
      <c r="F2" s="135"/>
      <c r="G2" s="136"/>
      <c r="H2" s="68"/>
      <c r="I2" s="181"/>
    </row>
    <row r="3" spans="1:13" ht="14.5" thickBot="1" x14ac:dyDescent="0.35">
      <c r="A3" s="153" t="str">
        <f>Lead!A3</f>
        <v>FSA: PPE</v>
      </c>
      <c r="B3" s="137"/>
      <c r="C3" s="63"/>
      <c r="D3" s="138"/>
      <c r="E3" s="138"/>
      <c r="F3" s="62"/>
      <c r="G3" s="138"/>
      <c r="H3" s="69"/>
      <c r="I3" s="182"/>
    </row>
    <row r="5" spans="1:13" x14ac:dyDescent="0.3">
      <c r="A5" s="60" t="s">
        <v>28</v>
      </c>
    </row>
    <row r="7" spans="1:13" ht="28" x14ac:dyDescent="0.3">
      <c r="B7" s="67" t="s">
        <v>27</v>
      </c>
      <c r="C7" s="67" t="s">
        <v>24</v>
      </c>
      <c r="D7" s="67" t="s">
        <v>81</v>
      </c>
      <c r="E7" s="67" t="s">
        <v>82</v>
      </c>
      <c r="F7" s="67" t="s">
        <v>92</v>
      </c>
      <c r="G7" s="67" t="s">
        <v>80</v>
      </c>
      <c r="H7" s="67" t="s">
        <v>83</v>
      </c>
      <c r="I7" s="67" t="s">
        <v>84</v>
      </c>
    </row>
    <row r="8" spans="1:13" x14ac:dyDescent="0.3">
      <c r="A8" s="139" t="s">
        <v>85</v>
      </c>
      <c r="B8" s="140"/>
      <c r="C8" s="110"/>
      <c r="D8" s="110"/>
      <c r="E8" s="110"/>
      <c r="F8" s="110"/>
      <c r="G8" s="110"/>
      <c r="H8" s="110"/>
      <c r="I8" s="110"/>
    </row>
    <row r="9" spans="1:13" x14ac:dyDescent="0.3">
      <c r="A9" s="64"/>
      <c r="B9" s="141"/>
      <c r="C9" s="109">
        <v>0</v>
      </c>
      <c r="D9" s="109"/>
      <c r="E9" s="109">
        <f t="shared" ref="E9:E14" si="0">C9-D9</f>
        <v>0</v>
      </c>
      <c r="F9" s="142">
        <v>0.2</v>
      </c>
      <c r="G9" s="143">
        <f>ROUND((E9*F9),0)</f>
        <v>0</v>
      </c>
      <c r="H9" s="111">
        <f t="shared" ref="H9:H14" si="1">G9+D9</f>
        <v>0</v>
      </c>
      <c r="I9" s="111">
        <f>C9-H9</f>
        <v>0</v>
      </c>
    </row>
    <row r="10" spans="1:13" x14ac:dyDescent="0.3">
      <c r="A10" s="64"/>
      <c r="B10" s="141"/>
      <c r="C10" s="109">
        <v>0</v>
      </c>
      <c r="D10" s="109"/>
      <c r="E10" s="109">
        <f t="shared" si="0"/>
        <v>0</v>
      </c>
      <c r="F10" s="142">
        <v>0.2</v>
      </c>
      <c r="G10" s="143">
        <f t="shared" ref="G10:G14" si="2">ROUND((E10*F10),0)</f>
        <v>0</v>
      </c>
      <c r="H10" s="111">
        <f t="shared" si="1"/>
        <v>0</v>
      </c>
      <c r="I10" s="111">
        <f t="shared" ref="I10:I15" si="3">C10-H10</f>
        <v>0</v>
      </c>
    </row>
    <row r="11" spans="1:13" x14ac:dyDescent="0.3">
      <c r="A11" s="64"/>
      <c r="B11" s="141"/>
      <c r="C11" s="109">
        <v>0</v>
      </c>
      <c r="D11" s="109"/>
      <c r="E11" s="109">
        <f t="shared" si="0"/>
        <v>0</v>
      </c>
      <c r="F11" s="142">
        <v>0.2</v>
      </c>
      <c r="G11" s="143">
        <f t="shared" si="2"/>
        <v>0</v>
      </c>
      <c r="H11" s="111">
        <f t="shared" si="1"/>
        <v>0</v>
      </c>
      <c r="I11" s="111">
        <f t="shared" si="3"/>
        <v>0</v>
      </c>
    </row>
    <row r="12" spans="1:13" x14ac:dyDescent="0.3">
      <c r="A12" s="64"/>
      <c r="B12" s="141"/>
      <c r="C12" s="109">
        <v>0</v>
      </c>
      <c r="D12" s="109"/>
      <c r="E12" s="109">
        <f t="shared" si="0"/>
        <v>0</v>
      </c>
      <c r="F12" s="142">
        <v>0.2</v>
      </c>
      <c r="G12" s="143">
        <f t="shared" si="2"/>
        <v>0</v>
      </c>
      <c r="H12" s="111">
        <f t="shared" si="1"/>
        <v>0</v>
      </c>
      <c r="I12" s="111">
        <f t="shared" si="3"/>
        <v>0</v>
      </c>
    </row>
    <row r="13" spans="1:13" x14ac:dyDescent="0.3">
      <c r="A13" s="64"/>
      <c r="B13" s="141"/>
      <c r="C13" s="109">
        <v>0</v>
      </c>
      <c r="D13" s="109"/>
      <c r="E13" s="109">
        <f t="shared" si="0"/>
        <v>0</v>
      </c>
      <c r="F13" s="142">
        <v>0.2</v>
      </c>
      <c r="G13" s="143">
        <f t="shared" si="2"/>
        <v>0</v>
      </c>
      <c r="H13" s="111">
        <f t="shared" si="1"/>
        <v>0</v>
      </c>
      <c r="I13" s="111">
        <f t="shared" si="3"/>
        <v>0</v>
      </c>
    </row>
    <row r="14" spans="1:13" x14ac:dyDescent="0.3">
      <c r="A14" s="64"/>
      <c r="B14" s="141"/>
      <c r="C14" s="109">
        <v>0</v>
      </c>
      <c r="D14" s="109"/>
      <c r="E14" s="109">
        <f t="shared" si="0"/>
        <v>0</v>
      </c>
      <c r="F14" s="142">
        <v>0.2</v>
      </c>
      <c r="G14" s="143">
        <f t="shared" si="2"/>
        <v>0</v>
      </c>
      <c r="H14" s="111">
        <f t="shared" si="1"/>
        <v>0</v>
      </c>
      <c r="I14" s="111">
        <f>C14-H14</f>
        <v>0</v>
      </c>
    </row>
    <row r="15" spans="1:13" x14ac:dyDescent="0.3">
      <c r="A15" s="64"/>
      <c r="B15" s="141"/>
      <c r="C15" s="109">
        <v>0</v>
      </c>
      <c r="D15" s="109"/>
      <c r="E15" s="109">
        <f>C15-D15</f>
        <v>0</v>
      </c>
      <c r="F15" s="142">
        <v>0.2</v>
      </c>
      <c r="G15" s="154">
        <f>E15*F15*2/12</f>
        <v>0</v>
      </c>
      <c r="H15" s="111">
        <f>G15+D15</f>
        <v>0</v>
      </c>
      <c r="I15" s="111">
        <f t="shared" si="3"/>
        <v>0</v>
      </c>
    </row>
    <row r="16" spans="1:13" x14ac:dyDescent="0.3">
      <c r="B16" s="145"/>
      <c r="C16" s="114">
        <f>SUM(C9:C15)</f>
        <v>0</v>
      </c>
      <c r="D16" s="114">
        <f>SUM(D9:D15)</f>
        <v>0</v>
      </c>
      <c r="E16" s="114">
        <f>SUM(E9:E15)</f>
        <v>0</v>
      </c>
      <c r="F16" s="146"/>
      <c r="G16" s="147">
        <f>SUM(G9:G15)</f>
        <v>0</v>
      </c>
      <c r="H16" s="114">
        <f>SUM(H9:H15)</f>
        <v>0</v>
      </c>
      <c r="I16" s="114">
        <f>SUM(I9:I15)</f>
        <v>0</v>
      </c>
      <c r="M16" s="148"/>
    </row>
    <row r="17" spans="1:9" x14ac:dyDescent="0.3">
      <c r="A17" s="64"/>
      <c r="B17" s="145"/>
      <c r="C17" s="109"/>
      <c r="D17" s="109"/>
      <c r="E17" s="109"/>
      <c r="F17" s="146"/>
      <c r="G17" s="109"/>
      <c r="H17" s="111"/>
      <c r="I17" s="111"/>
    </row>
    <row r="18" spans="1:9" x14ac:dyDescent="0.3">
      <c r="A18" s="139" t="s">
        <v>86</v>
      </c>
      <c r="B18" s="140"/>
      <c r="C18" s="109"/>
      <c r="D18" s="109"/>
      <c r="E18" s="109"/>
      <c r="F18" s="146"/>
      <c r="G18" s="109"/>
      <c r="H18" s="111"/>
      <c r="I18" s="111"/>
    </row>
    <row r="19" spans="1:9" x14ac:dyDescent="0.3">
      <c r="A19" s="64"/>
      <c r="B19" s="141"/>
      <c r="C19" s="109"/>
      <c r="D19" s="109"/>
      <c r="E19" s="109"/>
      <c r="F19" s="149"/>
      <c r="G19" s="150"/>
      <c r="H19" s="111"/>
      <c r="I19" s="111"/>
    </row>
    <row r="20" spans="1:9" x14ac:dyDescent="0.3">
      <c r="A20" s="64"/>
      <c r="B20" s="145"/>
      <c r="C20" s="114">
        <f>SUM(C19:C19)</f>
        <v>0</v>
      </c>
      <c r="D20" s="114">
        <f>SUM(D19:D19)</f>
        <v>0</v>
      </c>
      <c r="E20" s="114"/>
      <c r="F20" s="146"/>
      <c r="G20" s="147">
        <f>SUM(G19:G19)</f>
        <v>0</v>
      </c>
      <c r="H20" s="114">
        <f>SUM(H19:H19)</f>
        <v>0</v>
      </c>
      <c r="I20" s="114">
        <f>SUM(I19:I19)</f>
        <v>0</v>
      </c>
    </row>
    <row r="21" spans="1:9" x14ac:dyDescent="0.3">
      <c r="D21" s="144"/>
      <c r="E21" s="144"/>
      <c r="G21" s="144"/>
      <c r="H21" s="144"/>
      <c r="I21" s="144"/>
    </row>
    <row r="22" spans="1:9" x14ac:dyDescent="0.3">
      <c r="C22" s="114">
        <f>C16+C20</f>
        <v>0</v>
      </c>
      <c r="D22" s="144"/>
      <c r="E22" s="144"/>
      <c r="G22" s="147">
        <f>G16+G20</f>
        <v>0</v>
      </c>
      <c r="H22" s="114">
        <f>H16+H20</f>
        <v>0</v>
      </c>
      <c r="I22" s="114">
        <f>I16+I20</f>
        <v>0</v>
      </c>
    </row>
  </sheetData>
  <mergeCells count="1">
    <mergeCell ref="I1:I3"/>
  </mergeCells>
  <pageMargins left="0.6692913385826772" right="0.51181102362204722" top="0.51181102362204722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Front</vt:lpstr>
      <vt:lpstr>Lead</vt:lpstr>
      <vt:lpstr>Depreciation</vt:lpstr>
      <vt:lpstr>Dep computation</vt:lpstr>
      <vt:lpstr>Addition and Disposal</vt:lpstr>
      <vt:lpstr>Depreciation Cal</vt:lpstr>
      <vt:lpstr>Front!Print_Area</vt:lpstr>
      <vt:lpstr>Lead!Print_Area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Ruvendran</dc:creator>
  <cp:lastModifiedBy>Muhammed</cp:lastModifiedBy>
  <cp:lastPrinted>2024-02-04T08:23:45Z</cp:lastPrinted>
  <dcterms:created xsi:type="dcterms:W3CDTF">2015-06-05T18:17:20Z</dcterms:created>
  <dcterms:modified xsi:type="dcterms:W3CDTF">2024-12-21T08:12:20Z</dcterms:modified>
</cp:coreProperties>
</file>